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E438C10D384361/문서/"/>
    </mc:Choice>
  </mc:AlternateContent>
  <xr:revisionPtr revIDLastSave="0" documentId="8_{5E4620C2-C0A9-4D1E-A071-4D6801268E0E}" xr6:coauthVersionLast="47" xr6:coauthVersionMax="47" xr10:uidLastSave="{00000000-0000-0000-0000-000000000000}"/>
  <bookViews>
    <workbookView xWindow="-108" yWindow="-108" windowWidth="23256" windowHeight="12456" xr2:uid="{458316ED-6A3A-48B7-B600-5C0068C02405}"/>
  </bookViews>
  <sheets>
    <sheet name="Quote-Equity-ADANIENT-EQ-15-07-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" i="1"/>
</calcChain>
</file>

<file path=xl/sharedStrings.xml><?xml version="1.0" encoding="utf-8"?>
<sst xmlns="http://schemas.openxmlformats.org/spreadsheetml/2006/main" count="264" uniqueCount="18">
  <si>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</si>
  <si>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</si>
  <si>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</si>
  <si>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</si>
  <si>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</si>
  <si>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</si>
  <si>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</si>
  <si>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</si>
  <si>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</si>
  <si>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</si>
  <si>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</si>
  <si>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</si>
  <si>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NO. OF  TRADES</t>
  </si>
  <si>
    <t>EQ</t>
  </si>
  <si>
    <t>DAY</t>
  </si>
  <si>
    <t xml:space="preserve">MONTH </t>
  </si>
  <si>
    <t>YEAR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</si>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</sst>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F933-543E-472C-99C1-AB269239F112}">
  <dimension ref="A1:Q248"/>
  <sheetViews>
    <sheetView tabSelected="1" workbookViewId="0">
      <selection activeCell="C6" sqref="C6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10.44140625" customWidth="1"/>
    <col min="4" max="4" width="8" bestFit="1" customWidth="1"/>
    <col min="5" max="5" width="8" customWidth="1"/>
    <col min="6" max="6" width="6.44140625" bestFit="1" customWidth="1"/>
    <col min="7" max="7" width="8.109375" bestFit="1" customWidth="1"/>
    <col min="8" max="9" width="9" bestFit="1" customWidth="1"/>
    <col min="10" max="10" width="11.5546875" bestFit="1" customWidth="1"/>
    <col min="11" max="15" width="8.109375" bestFit="1" customWidth="1"/>
    <col min="16" max="16" width="12.88671875" bestFit="1" customWidth="1"/>
    <col min="17" max="17" width="14.33203125" bestFit="1" customWidth="1"/>
  </cols>
  <sheetData>
    <row r="1" spans="1:17" x14ac:dyDescent="0.3">
      <c r="A1" t="s">
        <v>0</v>
      </c>
      <c r="B1" t="s">
        <v>14</v>
      </c>
      <c r="C1" t="s">
        <v>17</v>
      </c>
      <c r="D1" t="s">
        <v>15</v>
      </c>
      <c r="E1" t="s">
        <v>16</v>
      </c>
      <c r="F1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</row>
    <row r="2" spans="1:17" x14ac:dyDescent="0.3">
      <c r="A2" s="1">
        <v>46218</v>
      </c>
      <c r="B2" s="1" t="str">
        <f>TEXT(A2,"dddd")</f>
        <v>Wednesday</v>
      </c>
      <c r="C2" s="1" t="str">
        <f>"Q"&amp;ROUNDUP(MONTH(A2)/3,0)</f>
        <v>Q3</v>
      </c>
      <c r="D2" s="1" t="str">
        <f>TEXT(A2,"MMM")</f>
        <v>Jul</v>
      </c>
      <c r="E2" s="1" t="str">
        <f>TEXT(A2,"YYYY")</f>
        <v>2026</v>
      </c>
      <c r="F2" t="s">
        <v>13</v>
      </c>
      <c r="G2" s="3">
        <v>3195</v>
      </c>
      <c r="H2" s="3">
        <v>3199.9</v>
      </c>
      <c r="I2" s="3">
        <v>3142.3</v>
      </c>
      <c r="J2" s="3">
        <v>3188.9</v>
      </c>
      <c r="K2" s="3">
        <v>3157.9</v>
      </c>
      <c r="L2" s="3">
        <v>3150.6</v>
      </c>
      <c r="M2" s="3">
        <v>3166.82</v>
      </c>
      <c r="N2" s="3">
        <v>3245</v>
      </c>
      <c r="O2" s="3">
        <v>1753</v>
      </c>
      <c r="P2" s="3">
        <v>1035101</v>
      </c>
      <c r="Q2" s="3">
        <v>39531</v>
      </c>
    </row>
    <row r="3" spans="1:17" x14ac:dyDescent="0.3">
      <c r="A3" s="1">
        <v>46217</v>
      </c>
      <c r="B3" s="1" t="str">
        <f t="shared" ref="B3:B66" si="0">TEXT(A3,"dddd")</f>
        <v>Tuesday</v>
      </c>
      <c r="C3" s="1" t="str">
        <f t="shared" ref="C3:C66" si="1">"Q"&amp;ROUNDUP(MONTH(A3)/3,0)</f>
        <v>Q3</v>
      </c>
      <c r="D3" s="1" t="str">
        <f t="shared" ref="D3:D66" si="2">TEXT(A3,"MMM")</f>
        <v>Jul</v>
      </c>
      <c r="E3" s="1" t="str">
        <f t="shared" ref="E3:E66" si="3">TEXT(A3,"YYYY")</f>
        <v>2026</v>
      </c>
      <c r="F3" t="s">
        <v>13</v>
      </c>
      <c r="G3" s="3">
        <v>3169.9</v>
      </c>
      <c r="H3" s="3">
        <v>3219.7</v>
      </c>
      <c r="I3" s="3">
        <v>3145</v>
      </c>
      <c r="J3" s="3">
        <v>3177.5</v>
      </c>
      <c r="K3" s="3">
        <v>3177</v>
      </c>
      <c r="L3" s="3">
        <v>3188.9</v>
      </c>
      <c r="M3" s="3">
        <v>3185.53</v>
      </c>
      <c r="N3" s="3">
        <v>3245</v>
      </c>
      <c r="O3" s="3">
        <v>1753</v>
      </c>
      <c r="P3" s="3">
        <v>1932879</v>
      </c>
      <c r="Q3" s="3">
        <v>75272</v>
      </c>
    </row>
    <row r="4" spans="1:17" x14ac:dyDescent="0.3">
      <c r="A4" s="1">
        <v>46216</v>
      </c>
      <c r="B4" s="1" t="str">
        <f t="shared" si="0"/>
        <v>Monday</v>
      </c>
      <c r="C4" s="1" t="str">
        <f t="shared" si="1"/>
        <v>Q3</v>
      </c>
      <c r="D4" s="1" t="str">
        <f t="shared" si="2"/>
        <v>Jul</v>
      </c>
      <c r="E4" s="1" t="str">
        <f t="shared" si="3"/>
        <v>2026</v>
      </c>
      <c r="F4" t="s">
        <v>13</v>
      </c>
      <c r="G4" s="3">
        <v>3127.3</v>
      </c>
      <c r="H4" s="3">
        <v>3195</v>
      </c>
      <c r="I4" s="3">
        <v>3115.2</v>
      </c>
      <c r="J4" s="3">
        <v>3157.3</v>
      </c>
      <c r="K4" s="3">
        <v>3174.7</v>
      </c>
      <c r="L4" s="3">
        <v>3177.5</v>
      </c>
      <c r="M4" s="3">
        <v>3173.02</v>
      </c>
      <c r="N4" s="3">
        <v>3245</v>
      </c>
      <c r="O4" s="3">
        <v>1753</v>
      </c>
      <c r="P4" s="3">
        <v>1599810</v>
      </c>
      <c r="Q4" s="3">
        <v>62291</v>
      </c>
    </row>
    <row r="5" spans="1:17" x14ac:dyDescent="0.3">
      <c r="A5" s="1">
        <v>46213</v>
      </c>
      <c r="B5" s="1" t="str">
        <f t="shared" si="0"/>
        <v>Friday</v>
      </c>
      <c r="C5" s="1" t="str">
        <f t="shared" si="1"/>
        <v>Q3</v>
      </c>
      <c r="D5" s="1" t="str">
        <f t="shared" si="2"/>
        <v>Jul</v>
      </c>
      <c r="E5" s="1" t="str">
        <f t="shared" si="3"/>
        <v>2026</v>
      </c>
      <c r="F5" t="s">
        <v>13</v>
      </c>
      <c r="G5" s="3">
        <v>3105</v>
      </c>
      <c r="H5" s="3">
        <v>3183</v>
      </c>
      <c r="I5" s="3">
        <v>3100</v>
      </c>
      <c r="J5" s="3">
        <v>3083.6</v>
      </c>
      <c r="K5" s="3">
        <v>3157.8</v>
      </c>
      <c r="L5" s="3">
        <v>3157.3</v>
      </c>
      <c r="M5" s="3">
        <v>3157.88</v>
      </c>
      <c r="N5" s="3">
        <v>3245</v>
      </c>
      <c r="O5" s="3">
        <v>1753</v>
      </c>
      <c r="P5" s="3">
        <v>2145335</v>
      </c>
      <c r="Q5" s="3">
        <v>66639</v>
      </c>
    </row>
    <row r="6" spans="1:17" x14ac:dyDescent="0.3">
      <c r="A6" s="1">
        <v>46212</v>
      </c>
      <c r="B6" s="1" t="str">
        <f t="shared" si="0"/>
        <v>Thursday</v>
      </c>
      <c r="C6" s="1" t="str">
        <f t="shared" si="1"/>
        <v>Q3</v>
      </c>
      <c r="D6" s="1" t="str">
        <f t="shared" si="2"/>
        <v>Jul</v>
      </c>
      <c r="E6" s="1" t="str">
        <f t="shared" si="3"/>
        <v>2026</v>
      </c>
      <c r="F6" t="s">
        <v>13</v>
      </c>
      <c r="G6" s="3">
        <v>3060</v>
      </c>
      <c r="H6" s="3">
        <v>3105</v>
      </c>
      <c r="I6" s="3">
        <v>3026.8</v>
      </c>
      <c r="J6" s="3">
        <v>3046.9</v>
      </c>
      <c r="K6" s="3">
        <v>3077.8</v>
      </c>
      <c r="L6" s="3">
        <v>3083.6</v>
      </c>
      <c r="M6" s="3">
        <v>3071.42</v>
      </c>
      <c r="N6" s="3">
        <v>3245</v>
      </c>
      <c r="O6" s="3">
        <v>1753</v>
      </c>
      <c r="P6" s="3">
        <v>2609306</v>
      </c>
      <c r="Q6" s="3">
        <v>86815</v>
      </c>
    </row>
    <row r="7" spans="1:17" x14ac:dyDescent="0.3">
      <c r="A7" s="1">
        <v>46211</v>
      </c>
      <c r="B7" s="1" t="str">
        <f t="shared" si="0"/>
        <v>Wednesday</v>
      </c>
      <c r="C7" s="1" t="str">
        <f t="shared" si="1"/>
        <v>Q3</v>
      </c>
      <c r="D7" s="1" t="str">
        <f t="shared" si="2"/>
        <v>Jul</v>
      </c>
      <c r="E7" s="1" t="str">
        <f t="shared" si="3"/>
        <v>2026</v>
      </c>
      <c r="F7" t="s">
        <v>13</v>
      </c>
      <c r="G7" s="3">
        <v>3105</v>
      </c>
      <c r="H7" s="3">
        <v>3146.9</v>
      </c>
      <c r="I7" s="3">
        <v>3028</v>
      </c>
      <c r="J7" s="3">
        <v>3107.2</v>
      </c>
      <c r="K7" s="3">
        <v>3055</v>
      </c>
      <c r="L7" s="3">
        <v>3046.9</v>
      </c>
      <c r="M7" s="3">
        <v>3082.14</v>
      </c>
      <c r="N7" s="3">
        <v>3245</v>
      </c>
      <c r="O7" s="3">
        <v>1753</v>
      </c>
      <c r="P7" s="3">
        <v>2321035</v>
      </c>
      <c r="Q7" s="3">
        <v>70237</v>
      </c>
    </row>
    <row r="8" spans="1:17" x14ac:dyDescent="0.3">
      <c r="A8" s="1">
        <v>46210</v>
      </c>
      <c r="B8" s="1" t="str">
        <f t="shared" si="0"/>
        <v>Tuesday</v>
      </c>
      <c r="C8" s="1" t="str">
        <f t="shared" si="1"/>
        <v>Q3</v>
      </c>
      <c r="D8" s="1" t="str">
        <f t="shared" si="2"/>
        <v>Jul</v>
      </c>
      <c r="E8" s="1" t="str">
        <f t="shared" si="3"/>
        <v>2026</v>
      </c>
      <c r="F8" t="s">
        <v>13</v>
      </c>
      <c r="G8" s="3">
        <v>3209.9</v>
      </c>
      <c r="H8" s="3">
        <v>3215.2</v>
      </c>
      <c r="I8" s="3">
        <v>3096.5</v>
      </c>
      <c r="J8" s="3">
        <v>3206.6</v>
      </c>
      <c r="K8" s="3">
        <v>3109.9</v>
      </c>
      <c r="L8" s="3">
        <v>3107.2</v>
      </c>
      <c r="M8" s="3">
        <v>3147.47</v>
      </c>
      <c r="N8" s="3">
        <v>3245</v>
      </c>
      <c r="O8" s="3">
        <v>1753</v>
      </c>
      <c r="P8" s="3">
        <v>2093552</v>
      </c>
      <c r="Q8" s="3">
        <v>74092</v>
      </c>
    </row>
    <row r="9" spans="1:17" x14ac:dyDescent="0.3">
      <c r="A9" s="1">
        <v>46209</v>
      </c>
      <c r="B9" s="1" t="str">
        <f t="shared" si="0"/>
        <v>Monday</v>
      </c>
      <c r="C9" s="1" t="str">
        <f t="shared" si="1"/>
        <v>Q3</v>
      </c>
      <c r="D9" s="1" t="str">
        <f t="shared" si="2"/>
        <v>Jul</v>
      </c>
      <c r="E9" s="1" t="str">
        <f t="shared" si="3"/>
        <v>2026</v>
      </c>
      <c r="F9" t="s">
        <v>13</v>
      </c>
      <c r="G9" s="3">
        <v>3230</v>
      </c>
      <c r="H9" s="3">
        <v>3245</v>
      </c>
      <c r="I9" s="3">
        <v>3187.7</v>
      </c>
      <c r="J9" s="3">
        <v>3212.1</v>
      </c>
      <c r="K9" s="3">
        <v>3205.5</v>
      </c>
      <c r="L9" s="3">
        <v>3206.6</v>
      </c>
      <c r="M9" s="3">
        <v>3213.99</v>
      </c>
      <c r="N9" s="3">
        <v>3245</v>
      </c>
      <c r="O9" s="3">
        <v>1753</v>
      </c>
      <c r="P9" s="3">
        <v>1978869</v>
      </c>
      <c r="Q9" s="3">
        <v>72395</v>
      </c>
    </row>
    <row r="10" spans="1:17" x14ac:dyDescent="0.3">
      <c r="A10" s="1">
        <v>46206</v>
      </c>
      <c r="B10" s="1" t="str">
        <f t="shared" si="0"/>
        <v>Friday</v>
      </c>
      <c r="C10" s="1" t="str">
        <f t="shared" si="1"/>
        <v>Q3</v>
      </c>
      <c r="D10" s="1" t="str">
        <f t="shared" si="2"/>
        <v>Jul</v>
      </c>
      <c r="E10" s="1" t="str">
        <f t="shared" si="3"/>
        <v>2026</v>
      </c>
      <c r="F10" t="s">
        <v>13</v>
      </c>
      <c r="G10" s="3">
        <v>3192</v>
      </c>
      <c r="H10" s="3">
        <v>3224</v>
      </c>
      <c r="I10" s="3">
        <v>3105.5</v>
      </c>
      <c r="J10" s="3">
        <v>3177.5</v>
      </c>
      <c r="K10" s="3">
        <v>3209.9</v>
      </c>
      <c r="L10" s="3">
        <v>3212.1</v>
      </c>
      <c r="M10" s="3">
        <v>3174.59</v>
      </c>
      <c r="N10" s="3">
        <v>3229.6</v>
      </c>
      <c r="O10" s="3">
        <v>1753</v>
      </c>
      <c r="P10" s="3">
        <v>2848623</v>
      </c>
      <c r="Q10" s="3">
        <v>103302</v>
      </c>
    </row>
    <row r="11" spans="1:17" x14ac:dyDescent="0.3">
      <c r="A11" s="1">
        <v>46205</v>
      </c>
      <c r="B11" s="1" t="str">
        <f t="shared" si="0"/>
        <v>Thursday</v>
      </c>
      <c r="C11" s="1" t="str">
        <f t="shared" si="1"/>
        <v>Q3</v>
      </c>
      <c r="D11" s="1" t="str">
        <f t="shared" si="2"/>
        <v>Jul</v>
      </c>
      <c r="E11" s="1" t="str">
        <f t="shared" si="3"/>
        <v>2026</v>
      </c>
      <c r="F11" t="s">
        <v>13</v>
      </c>
      <c r="G11" s="3">
        <v>3155.9</v>
      </c>
      <c r="H11" s="3">
        <v>3229.6</v>
      </c>
      <c r="I11" s="3">
        <v>3147</v>
      </c>
      <c r="J11" s="3">
        <v>3143.6</v>
      </c>
      <c r="K11" s="3">
        <v>3165</v>
      </c>
      <c r="L11" s="3">
        <v>3177.5</v>
      </c>
      <c r="M11" s="3">
        <v>3178.32</v>
      </c>
      <c r="N11" s="3">
        <v>3229.6</v>
      </c>
      <c r="O11" s="3">
        <v>1753</v>
      </c>
      <c r="P11" s="3">
        <v>3400034</v>
      </c>
      <c r="Q11" s="3">
        <v>125495</v>
      </c>
    </row>
    <row r="12" spans="1:17" x14ac:dyDescent="0.3">
      <c r="A12" s="1">
        <v>46204</v>
      </c>
      <c r="B12" s="1" t="str">
        <f t="shared" si="0"/>
        <v>Wednesday</v>
      </c>
      <c r="C12" s="1" t="str">
        <f t="shared" si="1"/>
        <v>Q3</v>
      </c>
      <c r="D12" s="1" t="str">
        <f t="shared" si="2"/>
        <v>Jul</v>
      </c>
      <c r="E12" s="1" t="str">
        <f t="shared" si="3"/>
        <v>2026</v>
      </c>
      <c r="F12" t="s">
        <v>13</v>
      </c>
      <c r="G12" s="3">
        <v>3041</v>
      </c>
      <c r="H12" s="3">
        <v>3149.8</v>
      </c>
      <c r="I12" s="3">
        <v>3012.8</v>
      </c>
      <c r="J12" s="3">
        <v>3036</v>
      </c>
      <c r="K12" s="3">
        <v>3143</v>
      </c>
      <c r="L12" s="3">
        <v>3143.6</v>
      </c>
      <c r="M12" s="3">
        <v>3112.4</v>
      </c>
      <c r="N12" s="3">
        <v>3149.8</v>
      </c>
      <c r="O12" s="3">
        <v>1753</v>
      </c>
      <c r="P12" s="3">
        <v>3415655</v>
      </c>
      <c r="Q12" s="3">
        <v>107300</v>
      </c>
    </row>
    <row r="13" spans="1:17" x14ac:dyDescent="0.3">
      <c r="A13" s="1">
        <v>46203</v>
      </c>
      <c r="B13" s="1" t="str">
        <f t="shared" si="0"/>
        <v>Tuesday</v>
      </c>
      <c r="C13" s="1" t="str">
        <f t="shared" si="1"/>
        <v>Q2</v>
      </c>
      <c r="D13" s="1" t="str">
        <f t="shared" si="2"/>
        <v>Jun</v>
      </c>
      <c r="E13" s="1" t="str">
        <f t="shared" si="3"/>
        <v>2026</v>
      </c>
      <c r="F13" t="s">
        <v>13</v>
      </c>
      <c r="G13" s="3">
        <v>2980</v>
      </c>
      <c r="H13" s="3">
        <v>3054.6</v>
      </c>
      <c r="I13" s="3">
        <v>2969</v>
      </c>
      <c r="J13" s="3">
        <v>2962.5</v>
      </c>
      <c r="K13" s="3">
        <v>3040</v>
      </c>
      <c r="L13" s="3">
        <v>3036</v>
      </c>
      <c r="M13" s="3">
        <v>3017.28</v>
      </c>
      <c r="N13" s="3">
        <v>3105</v>
      </c>
      <c r="O13" s="3">
        <v>1753</v>
      </c>
      <c r="P13" s="3">
        <v>2099291</v>
      </c>
      <c r="Q13" s="3">
        <v>64972</v>
      </c>
    </row>
    <row r="14" spans="1:17" x14ac:dyDescent="0.3">
      <c r="A14" s="1">
        <v>46202</v>
      </c>
      <c r="B14" s="1" t="str">
        <f t="shared" si="0"/>
        <v>Monday</v>
      </c>
      <c r="C14" s="1" t="str">
        <f t="shared" si="1"/>
        <v>Q2</v>
      </c>
      <c r="D14" s="1" t="str">
        <f t="shared" si="2"/>
        <v>Jun</v>
      </c>
      <c r="E14" s="1" t="str">
        <f t="shared" si="3"/>
        <v>2026</v>
      </c>
      <c r="F14" t="s">
        <v>13</v>
      </c>
      <c r="G14" s="3">
        <v>3020</v>
      </c>
      <c r="H14" s="3">
        <v>3020</v>
      </c>
      <c r="I14" s="3">
        <v>2955</v>
      </c>
      <c r="J14" s="3">
        <v>3038</v>
      </c>
      <c r="K14" s="3">
        <v>2970</v>
      </c>
      <c r="L14" s="3">
        <v>2962.5</v>
      </c>
      <c r="M14" s="3">
        <v>2972.81</v>
      </c>
      <c r="N14" s="3">
        <v>3105</v>
      </c>
      <c r="O14" s="3">
        <v>1753</v>
      </c>
      <c r="P14" s="3">
        <v>1693354</v>
      </c>
      <c r="Q14" s="3">
        <v>66890</v>
      </c>
    </row>
    <row r="15" spans="1:17" x14ac:dyDescent="0.3">
      <c r="A15" s="1">
        <v>46198</v>
      </c>
      <c r="B15" s="1" t="str">
        <f t="shared" si="0"/>
        <v>Thursday</v>
      </c>
      <c r="C15" s="1" t="str">
        <f t="shared" si="1"/>
        <v>Q2</v>
      </c>
      <c r="D15" s="1" t="str">
        <f t="shared" si="2"/>
        <v>Jun</v>
      </c>
      <c r="E15" s="1" t="str">
        <f t="shared" si="3"/>
        <v>2026</v>
      </c>
      <c r="F15" t="s">
        <v>13</v>
      </c>
      <c r="G15" s="3">
        <v>3086</v>
      </c>
      <c r="H15" s="3">
        <v>3105</v>
      </c>
      <c r="I15" s="3">
        <v>3027.7</v>
      </c>
      <c r="J15" s="3">
        <v>3069.7</v>
      </c>
      <c r="K15" s="3">
        <v>3040.3</v>
      </c>
      <c r="L15" s="3">
        <v>3038</v>
      </c>
      <c r="M15" s="3">
        <v>3067.4</v>
      </c>
      <c r="N15" s="3">
        <v>3105</v>
      </c>
      <c r="O15" s="3">
        <v>1753</v>
      </c>
      <c r="P15" s="3">
        <v>1719600</v>
      </c>
      <c r="Q15" s="3">
        <v>77905</v>
      </c>
    </row>
    <row r="16" spans="1:17" x14ac:dyDescent="0.3">
      <c r="A16" s="1">
        <v>46197</v>
      </c>
      <c r="B16" s="1" t="str">
        <f t="shared" si="0"/>
        <v>Wednesday</v>
      </c>
      <c r="C16" s="1" t="str">
        <f t="shared" si="1"/>
        <v>Q2</v>
      </c>
      <c r="D16" s="1" t="str">
        <f t="shared" si="2"/>
        <v>Jun</v>
      </c>
      <c r="E16" s="1" t="str">
        <f t="shared" si="3"/>
        <v>2026</v>
      </c>
      <c r="F16" t="s">
        <v>13</v>
      </c>
      <c r="G16" s="3">
        <v>2988.3</v>
      </c>
      <c r="H16" s="3">
        <v>3077.8</v>
      </c>
      <c r="I16" s="3">
        <v>2971</v>
      </c>
      <c r="J16" s="3">
        <v>2962.9</v>
      </c>
      <c r="K16" s="3">
        <v>3068</v>
      </c>
      <c r="L16" s="3">
        <v>3069.7</v>
      </c>
      <c r="M16" s="3">
        <v>3031.87</v>
      </c>
      <c r="N16" s="3">
        <v>3091.7</v>
      </c>
      <c r="O16" s="3">
        <v>1753</v>
      </c>
      <c r="P16" s="3">
        <v>2527812</v>
      </c>
      <c r="Q16" s="3">
        <v>96795</v>
      </c>
    </row>
    <row r="17" spans="1:17" x14ac:dyDescent="0.3">
      <c r="A17" s="1">
        <v>46196</v>
      </c>
      <c r="B17" s="1" t="str">
        <f t="shared" si="0"/>
        <v>Tuesday</v>
      </c>
      <c r="C17" s="1" t="str">
        <f t="shared" si="1"/>
        <v>Q2</v>
      </c>
      <c r="D17" s="1" t="str">
        <f t="shared" si="2"/>
        <v>Jun</v>
      </c>
      <c r="E17" s="1" t="str">
        <f t="shared" si="3"/>
        <v>2026</v>
      </c>
      <c r="F17" t="s">
        <v>13</v>
      </c>
      <c r="G17" s="3">
        <v>3072</v>
      </c>
      <c r="H17" s="3">
        <v>3091.7</v>
      </c>
      <c r="I17" s="3">
        <v>2943.5</v>
      </c>
      <c r="J17" s="3">
        <v>3059.6</v>
      </c>
      <c r="K17" s="3">
        <v>2964.6</v>
      </c>
      <c r="L17" s="3">
        <v>2962.9</v>
      </c>
      <c r="M17" s="3">
        <v>3009.36</v>
      </c>
      <c r="N17" s="3">
        <v>3091.7</v>
      </c>
      <c r="O17" s="3">
        <v>1753</v>
      </c>
      <c r="P17" s="3">
        <v>1620658</v>
      </c>
      <c r="Q17" s="3">
        <v>68733</v>
      </c>
    </row>
    <row r="18" spans="1:17" x14ac:dyDescent="0.3">
      <c r="A18" s="1">
        <v>46195</v>
      </c>
      <c r="B18" s="1" t="str">
        <f t="shared" si="0"/>
        <v>Monday</v>
      </c>
      <c r="C18" s="1" t="str">
        <f t="shared" si="1"/>
        <v>Q2</v>
      </c>
      <c r="D18" s="1" t="str">
        <f t="shared" si="2"/>
        <v>Jun</v>
      </c>
      <c r="E18" s="1" t="str">
        <f t="shared" si="3"/>
        <v>2026</v>
      </c>
      <c r="F18" t="s">
        <v>13</v>
      </c>
      <c r="G18" s="3">
        <v>3040</v>
      </c>
      <c r="H18" s="3">
        <v>3065</v>
      </c>
      <c r="I18" s="3">
        <v>3001</v>
      </c>
      <c r="J18" s="3">
        <v>3038.4</v>
      </c>
      <c r="K18" s="3">
        <v>3060</v>
      </c>
      <c r="L18" s="3">
        <v>3059.6</v>
      </c>
      <c r="M18" s="3">
        <v>3037.74</v>
      </c>
      <c r="N18" s="3">
        <v>3065</v>
      </c>
      <c r="O18" s="3">
        <v>1753</v>
      </c>
      <c r="P18" s="3">
        <v>1726452</v>
      </c>
      <c r="Q18" s="3">
        <v>57462</v>
      </c>
    </row>
    <row r="19" spans="1:17" x14ac:dyDescent="0.3">
      <c r="A19" s="1">
        <v>46192</v>
      </c>
      <c r="B19" s="1" t="str">
        <f t="shared" si="0"/>
        <v>Friday</v>
      </c>
      <c r="C19" s="1" t="str">
        <f t="shared" si="1"/>
        <v>Q2</v>
      </c>
      <c r="D19" s="1" t="str">
        <f t="shared" si="2"/>
        <v>Jun</v>
      </c>
      <c r="E19" s="1" t="str">
        <f t="shared" si="3"/>
        <v>2026</v>
      </c>
      <c r="F19" t="s">
        <v>13</v>
      </c>
      <c r="G19" s="3">
        <v>3017</v>
      </c>
      <c r="H19" s="3">
        <v>3051.9</v>
      </c>
      <c r="I19" s="3">
        <v>3009.1</v>
      </c>
      <c r="J19" s="3">
        <v>3013.4</v>
      </c>
      <c r="K19" s="3">
        <v>3030</v>
      </c>
      <c r="L19" s="3">
        <v>3038.4</v>
      </c>
      <c r="M19" s="3">
        <v>3034.7</v>
      </c>
      <c r="N19" s="3">
        <v>3059.8</v>
      </c>
      <c r="O19" s="3">
        <v>1753</v>
      </c>
      <c r="P19" s="3">
        <v>3620222</v>
      </c>
      <c r="Q19" s="3">
        <v>91842</v>
      </c>
    </row>
    <row r="20" spans="1:17" x14ac:dyDescent="0.3">
      <c r="A20" s="1">
        <v>46191</v>
      </c>
      <c r="B20" s="1" t="str">
        <f t="shared" si="0"/>
        <v>Thursday</v>
      </c>
      <c r="C20" s="1" t="str">
        <f t="shared" si="1"/>
        <v>Q2</v>
      </c>
      <c r="D20" s="1" t="str">
        <f t="shared" si="2"/>
        <v>Jun</v>
      </c>
      <c r="E20" s="1" t="str">
        <f t="shared" si="3"/>
        <v>2026</v>
      </c>
      <c r="F20" t="s">
        <v>13</v>
      </c>
      <c r="G20" s="3">
        <v>2952</v>
      </c>
      <c r="H20" s="3">
        <v>3041</v>
      </c>
      <c r="I20" s="3">
        <v>2938</v>
      </c>
      <c r="J20" s="3">
        <v>2951.9</v>
      </c>
      <c r="K20" s="3">
        <v>3032</v>
      </c>
      <c r="L20" s="3">
        <v>3013.4</v>
      </c>
      <c r="M20" s="3">
        <v>2977.29</v>
      </c>
      <c r="N20" s="3">
        <v>3059.8</v>
      </c>
      <c r="O20" s="3">
        <v>1753</v>
      </c>
      <c r="P20" s="3">
        <v>1774394</v>
      </c>
      <c r="Q20" s="3">
        <v>57576</v>
      </c>
    </row>
    <row r="21" spans="1:17" x14ac:dyDescent="0.3">
      <c r="A21" s="1">
        <v>46190</v>
      </c>
      <c r="B21" s="1" t="str">
        <f t="shared" si="0"/>
        <v>Wednesday</v>
      </c>
      <c r="C21" s="1" t="str">
        <f t="shared" si="1"/>
        <v>Q2</v>
      </c>
      <c r="D21" s="1" t="str">
        <f t="shared" si="2"/>
        <v>Jun</v>
      </c>
      <c r="E21" s="1" t="str">
        <f t="shared" si="3"/>
        <v>2026</v>
      </c>
      <c r="F21" t="s">
        <v>13</v>
      </c>
      <c r="G21" s="3">
        <v>2958</v>
      </c>
      <c r="H21" s="3">
        <v>2974.5</v>
      </c>
      <c r="I21" s="3">
        <v>2934.6</v>
      </c>
      <c r="J21" s="3">
        <v>2943.6</v>
      </c>
      <c r="K21" s="3">
        <v>2948.9</v>
      </c>
      <c r="L21" s="3">
        <v>2951.9</v>
      </c>
      <c r="M21" s="3">
        <v>2951.39</v>
      </c>
      <c r="N21" s="3">
        <v>3059.8</v>
      </c>
      <c r="O21" s="3">
        <v>1753</v>
      </c>
      <c r="P21" s="3">
        <v>1244567</v>
      </c>
      <c r="Q21" s="3">
        <v>43394</v>
      </c>
    </row>
    <row r="22" spans="1:17" x14ac:dyDescent="0.3">
      <c r="A22" s="1">
        <v>46189</v>
      </c>
      <c r="B22" s="1" t="str">
        <f t="shared" si="0"/>
        <v>Tuesday</v>
      </c>
      <c r="C22" s="1" t="str">
        <f t="shared" si="1"/>
        <v>Q2</v>
      </c>
      <c r="D22" s="1" t="str">
        <f t="shared" si="2"/>
        <v>Jun</v>
      </c>
      <c r="E22" s="1" t="str">
        <f t="shared" si="3"/>
        <v>2026</v>
      </c>
      <c r="F22" t="s">
        <v>13</v>
      </c>
      <c r="G22" s="3">
        <v>2971.4</v>
      </c>
      <c r="H22" s="3">
        <v>2997.7</v>
      </c>
      <c r="I22" s="3">
        <v>2928.3</v>
      </c>
      <c r="J22" s="3">
        <v>2942.5</v>
      </c>
      <c r="K22" s="3">
        <v>2943.8</v>
      </c>
      <c r="L22" s="3">
        <v>2943.6</v>
      </c>
      <c r="M22" s="3">
        <v>2962.58</v>
      </c>
      <c r="N22" s="3">
        <v>3059.8</v>
      </c>
      <c r="O22" s="3">
        <v>1753</v>
      </c>
      <c r="P22" s="3">
        <v>1851843</v>
      </c>
      <c r="Q22" s="3">
        <v>64897</v>
      </c>
    </row>
    <row r="23" spans="1:17" x14ac:dyDescent="0.3">
      <c r="A23" s="1">
        <v>46188</v>
      </c>
      <c r="B23" s="1" t="str">
        <f t="shared" si="0"/>
        <v>Monday</v>
      </c>
      <c r="C23" s="1" t="str">
        <f t="shared" si="1"/>
        <v>Q2</v>
      </c>
      <c r="D23" s="1" t="str">
        <f t="shared" si="2"/>
        <v>Jun</v>
      </c>
      <c r="E23" s="1" t="str">
        <f t="shared" si="3"/>
        <v>2026</v>
      </c>
      <c r="F23" t="s">
        <v>13</v>
      </c>
      <c r="G23" s="3">
        <v>2960</v>
      </c>
      <c r="H23" s="3">
        <v>2983</v>
      </c>
      <c r="I23" s="3">
        <v>2935</v>
      </c>
      <c r="J23" s="3">
        <v>2921.6</v>
      </c>
      <c r="K23" s="3">
        <v>2938</v>
      </c>
      <c r="L23" s="3">
        <v>2942.5</v>
      </c>
      <c r="M23" s="3">
        <v>2957.07</v>
      </c>
      <c r="N23" s="3">
        <v>3059.8</v>
      </c>
      <c r="O23" s="3">
        <v>1753</v>
      </c>
      <c r="P23" s="3">
        <v>1174229</v>
      </c>
      <c r="Q23" s="3">
        <v>53168</v>
      </c>
    </row>
    <row r="24" spans="1:17" x14ac:dyDescent="0.3">
      <c r="A24" s="1">
        <v>46185</v>
      </c>
      <c r="B24" s="1" t="str">
        <f t="shared" si="0"/>
        <v>Friday</v>
      </c>
      <c r="C24" s="1" t="str">
        <f t="shared" si="1"/>
        <v>Q2</v>
      </c>
      <c r="D24" s="1" t="str">
        <f t="shared" si="2"/>
        <v>Jun</v>
      </c>
      <c r="E24" s="1" t="str">
        <f t="shared" si="3"/>
        <v>2026</v>
      </c>
      <c r="F24" t="s">
        <v>13</v>
      </c>
      <c r="G24" s="3">
        <v>2958.8</v>
      </c>
      <c r="H24" s="3">
        <v>2971.9</v>
      </c>
      <c r="I24" s="3">
        <v>2886.2</v>
      </c>
      <c r="J24" s="3">
        <v>2908.8</v>
      </c>
      <c r="K24" s="3">
        <v>2935</v>
      </c>
      <c r="L24" s="3">
        <v>2921.6</v>
      </c>
      <c r="M24" s="3">
        <v>2919.48</v>
      </c>
      <c r="N24" s="3">
        <v>3059.8</v>
      </c>
      <c r="O24" s="3">
        <v>1753</v>
      </c>
      <c r="P24" s="3">
        <v>2321009</v>
      </c>
      <c r="Q24" s="3">
        <v>76427</v>
      </c>
    </row>
    <row r="25" spans="1:17" x14ac:dyDescent="0.3">
      <c r="A25" s="1">
        <v>46184</v>
      </c>
      <c r="B25" s="1" t="str">
        <f t="shared" si="0"/>
        <v>Thursday</v>
      </c>
      <c r="C25" s="1" t="str">
        <f t="shared" si="1"/>
        <v>Q2</v>
      </c>
      <c r="D25" s="1" t="str">
        <f t="shared" si="2"/>
        <v>Jun</v>
      </c>
      <c r="E25" s="1" t="str">
        <f t="shared" si="3"/>
        <v>2026</v>
      </c>
      <c r="F25" t="s">
        <v>13</v>
      </c>
      <c r="G25" s="3">
        <v>2895.1</v>
      </c>
      <c r="H25" s="3">
        <v>2966.8</v>
      </c>
      <c r="I25" s="3">
        <v>2895.1</v>
      </c>
      <c r="J25" s="3">
        <v>2931.1</v>
      </c>
      <c r="K25" s="3">
        <v>2913.4</v>
      </c>
      <c r="L25" s="3">
        <v>2908.8</v>
      </c>
      <c r="M25" s="3">
        <v>2935.35</v>
      </c>
      <c r="N25" s="3">
        <v>3059.8</v>
      </c>
      <c r="O25" s="3">
        <v>1753</v>
      </c>
      <c r="P25" s="3">
        <v>1204115</v>
      </c>
      <c r="Q25" s="3">
        <v>51934</v>
      </c>
    </row>
    <row r="26" spans="1:17" x14ac:dyDescent="0.3">
      <c r="A26" s="1">
        <v>46183</v>
      </c>
      <c r="B26" s="1" t="str">
        <f t="shared" si="0"/>
        <v>Wednesday</v>
      </c>
      <c r="C26" s="1" t="str">
        <f t="shared" si="1"/>
        <v>Q2</v>
      </c>
      <c r="D26" s="1" t="str">
        <f t="shared" si="2"/>
        <v>Jun</v>
      </c>
      <c r="E26" s="1" t="str">
        <f t="shared" si="3"/>
        <v>2026</v>
      </c>
      <c r="F26" t="s">
        <v>13</v>
      </c>
      <c r="G26" s="3">
        <v>2977</v>
      </c>
      <c r="H26" s="3">
        <v>2994.9</v>
      </c>
      <c r="I26" s="3">
        <v>2918</v>
      </c>
      <c r="J26" s="3">
        <v>2979.9</v>
      </c>
      <c r="K26" s="3">
        <v>2940</v>
      </c>
      <c r="L26" s="3">
        <v>2931.1</v>
      </c>
      <c r="M26" s="3">
        <v>2964.15</v>
      </c>
      <c r="N26" s="3">
        <v>3059.8</v>
      </c>
      <c r="O26" s="3">
        <v>1753</v>
      </c>
      <c r="P26" s="3">
        <v>1475029</v>
      </c>
      <c r="Q26" s="3">
        <v>57005</v>
      </c>
    </row>
    <row r="27" spans="1:17" x14ac:dyDescent="0.3">
      <c r="A27" s="1">
        <v>46182</v>
      </c>
      <c r="B27" s="1" t="str">
        <f t="shared" si="0"/>
        <v>Tuesday</v>
      </c>
      <c r="C27" s="1" t="str">
        <f t="shared" si="1"/>
        <v>Q2</v>
      </c>
      <c r="D27" s="1" t="str">
        <f t="shared" si="2"/>
        <v>Jun</v>
      </c>
      <c r="E27" s="1" t="str">
        <f t="shared" si="3"/>
        <v>2026</v>
      </c>
      <c r="F27" t="s">
        <v>13</v>
      </c>
      <c r="G27" s="3">
        <v>2985.9</v>
      </c>
      <c r="H27" s="3">
        <v>2998.7</v>
      </c>
      <c r="I27" s="3">
        <v>2935.9</v>
      </c>
      <c r="J27" s="3">
        <v>2970</v>
      </c>
      <c r="K27" s="3">
        <v>2973.6</v>
      </c>
      <c r="L27" s="3">
        <v>2979.9</v>
      </c>
      <c r="M27" s="3">
        <v>2975.24</v>
      </c>
      <c r="N27" s="3">
        <v>3059.8</v>
      </c>
      <c r="O27" s="3">
        <v>1753</v>
      </c>
      <c r="P27" s="3">
        <v>1841620</v>
      </c>
      <c r="Q27" s="3">
        <v>69459</v>
      </c>
    </row>
    <row r="28" spans="1:17" x14ac:dyDescent="0.3">
      <c r="A28" s="1">
        <v>46181</v>
      </c>
      <c r="B28" s="1" t="str">
        <f t="shared" si="0"/>
        <v>Monday</v>
      </c>
      <c r="C28" s="1" t="str">
        <f t="shared" si="1"/>
        <v>Q2</v>
      </c>
      <c r="D28" s="1" t="str">
        <f t="shared" si="2"/>
        <v>Jun</v>
      </c>
      <c r="E28" s="1" t="str">
        <f t="shared" si="3"/>
        <v>2026</v>
      </c>
      <c r="F28" t="s">
        <v>13</v>
      </c>
      <c r="G28" s="3">
        <v>3017.7</v>
      </c>
      <c r="H28" s="3">
        <v>3039.8</v>
      </c>
      <c r="I28" s="3">
        <v>2955.1</v>
      </c>
      <c r="J28" s="3">
        <v>3048.2</v>
      </c>
      <c r="K28" s="3">
        <v>2960.2</v>
      </c>
      <c r="L28" s="3">
        <v>2970</v>
      </c>
      <c r="M28" s="3">
        <v>3004.97</v>
      </c>
      <c r="N28" s="3">
        <v>3059.8</v>
      </c>
      <c r="O28" s="3">
        <v>1753</v>
      </c>
      <c r="P28" s="3">
        <v>1653499</v>
      </c>
      <c r="Q28" s="3">
        <v>61785</v>
      </c>
    </row>
    <row r="29" spans="1:17" x14ac:dyDescent="0.3">
      <c r="A29" s="1">
        <v>46178</v>
      </c>
      <c r="B29" s="1" t="str">
        <f t="shared" si="0"/>
        <v>Friday</v>
      </c>
      <c r="C29" s="1" t="str">
        <f t="shared" si="1"/>
        <v>Q2</v>
      </c>
      <c r="D29" s="1" t="str">
        <f t="shared" si="2"/>
        <v>Jun</v>
      </c>
      <c r="E29" s="1" t="str">
        <f t="shared" si="3"/>
        <v>2026</v>
      </c>
      <c r="F29" t="s">
        <v>13</v>
      </c>
      <c r="G29" s="3">
        <v>2992</v>
      </c>
      <c r="H29" s="3">
        <v>3059.8</v>
      </c>
      <c r="I29" s="3">
        <v>2921.8</v>
      </c>
      <c r="J29" s="3">
        <v>2972.8</v>
      </c>
      <c r="K29" s="3">
        <v>3043</v>
      </c>
      <c r="L29" s="3">
        <v>3048.2</v>
      </c>
      <c r="M29" s="3">
        <v>3015.26</v>
      </c>
      <c r="N29" s="3">
        <v>3059.8</v>
      </c>
      <c r="O29" s="3">
        <v>1753</v>
      </c>
      <c r="P29" s="3">
        <v>5617327</v>
      </c>
      <c r="Q29" s="3">
        <v>160264</v>
      </c>
    </row>
    <row r="30" spans="1:17" x14ac:dyDescent="0.3">
      <c r="A30" s="1">
        <v>46177</v>
      </c>
      <c r="B30" s="1" t="str">
        <f t="shared" si="0"/>
        <v>Thursday</v>
      </c>
      <c r="C30" s="1" t="str">
        <f t="shared" si="1"/>
        <v>Q2</v>
      </c>
      <c r="D30" s="1" t="str">
        <f t="shared" si="2"/>
        <v>Jun</v>
      </c>
      <c r="E30" s="1" t="str">
        <f t="shared" si="3"/>
        <v>2026</v>
      </c>
      <c r="F30" t="s">
        <v>13</v>
      </c>
      <c r="G30" s="3">
        <v>2920</v>
      </c>
      <c r="H30" s="3">
        <v>2983</v>
      </c>
      <c r="I30" s="3">
        <v>2918.1</v>
      </c>
      <c r="J30" s="3">
        <v>2925.6</v>
      </c>
      <c r="K30" s="3">
        <v>2977.9</v>
      </c>
      <c r="L30" s="3">
        <v>2972.8</v>
      </c>
      <c r="M30" s="3">
        <v>2962.79</v>
      </c>
      <c r="N30" s="3">
        <v>3027.5</v>
      </c>
      <c r="O30" s="3">
        <v>1753</v>
      </c>
      <c r="P30" s="3">
        <v>1722991</v>
      </c>
      <c r="Q30" s="3">
        <v>81942</v>
      </c>
    </row>
    <row r="31" spans="1:17" x14ac:dyDescent="0.3">
      <c r="A31" s="1">
        <v>46176</v>
      </c>
      <c r="B31" s="1" t="str">
        <f t="shared" si="0"/>
        <v>Wednesday</v>
      </c>
      <c r="C31" s="1" t="str">
        <f t="shared" si="1"/>
        <v>Q2</v>
      </c>
      <c r="D31" s="1" t="str">
        <f t="shared" si="2"/>
        <v>Jun</v>
      </c>
      <c r="E31" s="1" t="str">
        <f t="shared" si="3"/>
        <v>2026</v>
      </c>
      <c r="F31" t="s">
        <v>13</v>
      </c>
      <c r="G31" s="3">
        <v>2960</v>
      </c>
      <c r="H31" s="3">
        <v>2965</v>
      </c>
      <c r="I31" s="3">
        <v>2888.1</v>
      </c>
      <c r="J31" s="3">
        <v>2968.1</v>
      </c>
      <c r="K31" s="3">
        <v>2929</v>
      </c>
      <c r="L31" s="3">
        <v>2925.6</v>
      </c>
      <c r="M31" s="3">
        <v>2922.19</v>
      </c>
      <c r="N31" s="3">
        <v>3027.5</v>
      </c>
      <c r="O31" s="3">
        <v>1753</v>
      </c>
      <c r="P31" s="3">
        <v>1346112</v>
      </c>
      <c r="Q31" s="3">
        <v>61748</v>
      </c>
    </row>
    <row r="32" spans="1:17" x14ac:dyDescent="0.3">
      <c r="A32" s="1">
        <v>46175</v>
      </c>
      <c r="B32" s="1" t="str">
        <f t="shared" si="0"/>
        <v>Tuesday</v>
      </c>
      <c r="C32" s="1" t="str">
        <f t="shared" si="1"/>
        <v>Q2</v>
      </c>
      <c r="D32" s="1" t="str">
        <f t="shared" si="2"/>
        <v>Jun</v>
      </c>
      <c r="E32" s="1" t="str">
        <f t="shared" si="3"/>
        <v>2026</v>
      </c>
      <c r="F32" t="s">
        <v>13</v>
      </c>
      <c r="G32" s="3">
        <v>2885</v>
      </c>
      <c r="H32" s="3">
        <v>2975</v>
      </c>
      <c r="I32" s="3">
        <v>2865.2</v>
      </c>
      <c r="J32" s="3">
        <v>2909.4</v>
      </c>
      <c r="K32" s="3">
        <v>2972</v>
      </c>
      <c r="L32" s="3">
        <v>2968.1</v>
      </c>
      <c r="M32" s="3">
        <v>2918.5</v>
      </c>
      <c r="N32" s="3">
        <v>3027.5</v>
      </c>
      <c r="O32" s="3">
        <v>1753</v>
      </c>
      <c r="P32" s="3">
        <v>2066890</v>
      </c>
      <c r="Q32" s="3">
        <v>94022</v>
      </c>
    </row>
    <row r="33" spans="1:17" x14ac:dyDescent="0.3">
      <c r="A33" s="1">
        <v>46174</v>
      </c>
      <c r="B33" s="1" t="str">
        <f t="shared" si="0"/>
        <v>Monday</v>
      </c>
      <c r="C33" s="1" t="str">
        <f t="shared" si="1"/>
        <v>Q2</v>
      </c>
      <c r="D33" s="1" t="str">
        <f t="shared" si="2"/>
        <v>Jun</v>
      </c>
      <c r="E33" s="1" t="str">
        <f t="shared" si="3"/>
        <v>2026</v>
      </c>
      <c r="F33" t="s">
        <v>13</v>
      </c>
      <c r="G33" s="3">
        <v>2949.9</v>
      </c>
      <c r="H33" s="3">
        <v>2955.7</v>
      </c>
      <c r="I33" s="3">
        <v>2891.1</v>
      </c>
      <c r="J33" s="3">
        <v>2937.4</v>
      </c>
      <c r="K33" s="3">
        <v>2908</v>
      </c>
      <c r="L33" s="3">
        <v>2909.4</v>
      </c>
      <c r="M33" s="3">
        <v>2916.39</v>
      </c>
      <c r="N33" s="3">
        <v>3027.5</v>
      </c>
      <c r="O33" s="3">
        <v>1753</v>
      </c>
      <c r="P33" s="3">
        <v>1629342</v>
      </c>
      <c r="Q33" s="3">
        <v>63188</v>
      </c>
    </row>
    <row r="34" spans="1:17" x14ac:dyDescent="0.3">
      <c r="A34" s="1">
        <v>46171</v>
      </c>
      <c r="B34" s="1" t="str">
        <f t="shared" si="0"/>
        <v>Friday</v>
      </c>
      <c r="C34" s="1" t="str">
        <f t="shared" si="1"/>
        <v>Q2</v>
      </c>
      <c r="D34" s="1" t="str">
        <f t="shared" si="2"/>
        <v>May</v>
      </c>
      <c r="E34" s="1" t="str">
        <f t="shared" si="3"/>
        <v>2026</v>
      </c>
      <c r="F34" t="s">
        <v>13</v>
      </c>
      <c r="G34" s="3">
        <v>2987.8</v>
      </c>
      <c r="H34" s="3">
        <v>2995</v>
      </c>
      <c r="I34" s="3">
        <v>2926.8</v>
      </c>
      <c r="J34" s="3">
        <v>2973.1</v>
      </c>
      <c r="K34" s="3">
        <v>2940</v>
      </c>
      <c r="L34" s="3">
        <v>2937.4</v>
      </c>
      <c r="M34" s="3">
        <v>2946.03</v>
      </c>
      <c r="N34" s="3">
        <v>3027.5</v>
      </c>
      <c r="O34" s="3">
        <v>1753</v>
      </c>
      <c r="P34" s="3">
        <v>4040865</v>
      </c>
      <c r="Q34" s="3">
        <v>102996</v>
      </c>
    </row>
    <row r="35" spans="1:17" x14ac:dyDescent="0.3">
      <c r="A35" s="1">
        <v>46169</v>
      </c>
      <c r="B35" s="1" t="str">
        <f t="shared" si="0"/>
        <v>Wednesday</v>
      </c>
      <c r="C35" s="1" t="str">
        <f t="shared" si="1"/>
        <v>Q2</v>
      </c>
      <c r="D35" s="1" t="str">
        <f t="shared" si="2"/>
        <v>May</v>
      </c>
      <c r="E35" s="1" t="str">
        <f t="shared" si="3"/>
        <v>2026</v>
      </c>
      <c r="F35" t="s">
        <v>13</v>
      </c>
      <c r="G35" s="3">
        <v>2982</v>
      </c>
      <c r="H35" s="3">
        <v>3027.5</v>
      </c>
      <c r="I35" s="3">
        <v>2944</v>
      </c>
      <c r="J35" s="3">
        <v>2969.3</v>
      </c>
      <c r="K35" s="3">
        <v>2972.8</v>
      </c>
      <c r="L35" s="3">
        <v>2973.1</v>
      </c>
      <c r="M35" s="3">
        <v>2978.58</v>
      </c>
      <c r="N35" s="3">
        <v>3027.5</v>
      </c>
      <c r="O35" s="3">
        <v>1753</v>
      </c>
      <c r="P35" s="3">
        <v>3826916</v>
      </c>
      <c r="Q35" s="3">
        <v>109903</v>
      </c>
    </row>
    <row r="36" spans="1:17" x14ac:dyDescent="0.3">
      <c r="A36" s="1">
        <v>46168</v>
      </c>
      <c r="B36" s="1" t="str">
        <f t="shared" si="0"/>
        <v>Tuesday</v>
      </c>
      <c r="C36" s="1" t="str">
        <f t="shared" si="1"/>
        <v>Q2</v>
      </c>
      <c r="D36" s="1" t="str">
        <f t="shared" si="2"/>
        <v>May</v>
      </c>
      <c r="E36" s="1" t="str">
        <f t="shared" si="3"/>
        <v>2026</v>
      </c>
      <c r="F36" t="s">
        <v>13</v>
      </c>
      <c r="G36" s="3">
        <v>2846</v>
      </c>
      <c r="H36" s="3">
        <v>2979.4</v>
      </c>
      <c r="I36" s="3">
        <v>2825</v>
      </c>
      <c r="J36" s="3">
        <v>2849.7</v>
      </c>
      <c r="K36" s="3">
        <v>2973</v>
      </c>
      <c r="L36" s="3">
        <v>2969.3</v>
      </c>
      <c r="M36" s="3">
        <v>2920.76</v>
      </c>
      <c r="N36" s="3">
        <v>2979.4</v>
      </c>
      <c r="O36" s="3">
        <v>1753</v>
      </c>
      <c r="P36" s="3">
        <v>4899494</v>
      </c>
      <c r="Q36" s="3">
        <v>147603</v>
      </c>
    </row>
    <row r="37" spans="1:17" x14ac:dyDescent="0.3">
      <c r="A37" s="1">
        <v>46167</v>
      </c>
      <c r="B37" s="1" t="str">
        <f t="shared" si="0"/>
        <v>Monday</v>
      </c>
      <c r="C37" s="1" t="str">
        <f t="shared" si="1"/>
        <v>Q2</v>
      </c>
      <c r="D37" s="1" t="str">
        <f t="shared" si="2"/>
        <v>May</v>
      </c>
      <c r="E37" s="1" t="str">
        <f t="shared" si="3"/>
        <v>2026</v>
      </c>
      <c r="F37" t="s">
        <v>13</v>
      </c>
      <c r="G37" s="3">
        <v>2739.8</v>
      </c>
      <c r="H37" s="3">
        <v>2858.8</v>
      </c>
      <c r="I37" s="3">
        <v>2739.3</v>
      </c>
      <c r="J37" s="3">
        <v>2717.3</v>
      </c>
      <c r="K37" s="3">
        <v>2847</v>
      </c>
      <c r="L37" s="3">
        <v>2849.7</v>
      </c>
      <c r="M37" s="3">
        <v>2816.47</v>
      </c>
      <c r="N37" s="3">
        <v>2858.8</v>
      </c>
      <c r="O37" s="3">
        <v>1753</v>
      </c>
      <c r="P37" s="3">
        <v>3277924</v>
      </c>
      <c r="Q37" s="3">
        <v>123831</v>
      </c>
    </row>
    <row r="38" spans="1:17" x14ac:dyDescent="0.3">
      <c r="A38" s="1">
        <v>46164</v>
      </c>
      <c r="B38" s="1" t="str">
        <f t="shared" si="0"/>
        <v>Friday</v>
      </c>
      <c r="C38" s="1" t="str">
        <f t="shared" si="1"/>
        <v>Q2</v>
      </c>
      <c r="D38" s="1" t="str">
        <f t="shared" si="2"/>
        <v>May</v>
      </c>
      <c r="E38" s="1" t="str">
        <f t="shared" si="3"/>
        <v>2026</v>
      </c>
      <c r="F38" t="s">
        <v>13</v>
      </c>
      <c r="G38" s="3">
        <v>2710.2</v>
      </c>
      <c r="H38" s="3">
        <v>2745</v>
      </c>
      <c r="I38" s="3">
        <v>2706.1</v>
      </c>
      <c r="J38" s="3">
        <v>2697.6</v>
      </c>
      <c r="K38" s="3">
        <v>2719.1</v>
      </c>
      <c r="L38" s="3">
        <v>2717.3</v>
      </c>
      <c r="M38" s="3">
        <v>2724.58</v>
      </c>
      <c r="N38" s="3">
        <v>2803.1</v>
      </c>
      <c r="O38" s="3">
        <v>1753</v>
      </c>
      <c r="P38" s="3">
        <v>1094843</v>
      </c>
      <c r="Q38" s="3">
        <v>45849</v>
      </c>
    </row>
    <row r="39" spans="1:17" x14ac:dyDescent="0.3">
      <c r="A39" s="1">
        <v>46163</v>
      </c>
      <c r="B39" s="1" t="str">
        <f t="shared" si="0"/>
        <v>Thursday</v>
      </c>
      <c r="C39" s="1" t="str">
        <f t="shared" si="1"/>
        <v>Q2</v>
      </c>
      <c r="D39" s="1" t="str">
        <f t="shared" si="2"/>
        <v>May</v>
      </c>
      <c r="E39" s="1" t="str">
        <f t="shared" si="3"/>
        <v>2026</v>
      </c>
      <c r="F39" t="s">
        <v>13</v>
      </c>
      <c r="G39" s="3">
        <v>2727.9</v>
      </c>
      <c r="H39" s="3">
        <v>2770</v>
      </c>
      <c r="I39" s="3">
        <v>2684</v>
      </c>
      <c r="J39" s="3">
        <v>2704.8</v>
      </c>
      <c r="K39" s="3">
        <v>2690</v>
      </c>
      <c r="L39" s="3">
        <v>2697.6</v>
      </c>
      <c r="M39" s="3">
        <v>2727.69</v>
      </c>
      <c r="N39" s="3">
        <v>2803.1</v>
      </c>
      <c r="O39" s="3">
        <v>1753</v>
      </c>
      <c r="P39" s="3">
        <v>1606690</v>
      </c>
      <c r="Q39" s="3">
        <v>60673</v>
      </c>
    </row>
    <row r="40" spans="1:17" x14ac:dyDescent="0.3">
      <c r="A40" s="1">
        <v>46162</v>
      </c>
      <c r="B40" s="1" t="str">
        <f t="shared" si="0"/>
        <v>Wednesday</v>
      </c>
      <c r="C40" s="1" t="str">
        <f t="shared" si="1"/>
        <v>Q2</v>
      </c>
      <c r="D40" s="1" t="str">
        <f t="shared" si="2"/>
        <v>May</v>
      </c>
      <c r="E40" s="1" t="str">
        <f t="shared" si="3"/>
        <v>2026</v>
      </c>
      <c r="F40" t="s">
        <v>13</v>
      </c>
      <c r="G40" s="3">
        <v>2715</v>
      </c>
      <c r="H40" s="3">
        <v>2720</v>
      </c>
      <c r="I40" s="3">
        <v>2685.1</v>
      </c>
      <c r="J40" s="3">
        <v>2725</v>
      </c>
      <c r="K40" s="3">
        <v>2705.5</v>
      </c>
      <c r="L40" s="3">
        <v>2704.8</v>
      </c>
      <c r="M40" s="3">
        <v>2700.43</v>
      </c>
      <c r="N40" s="3">
        <v>2803.1</v>
      </c>
      <c r="O40" s="3">
        <v>1753</v>
      </c>
      <c r="P40" s="3">
        <v>1187449</v>
      </c>
      <c r="Q40" s="3">
        <v>48389</v>
      </c>
    </row>
    <row r="41" spans="1:17" x14ac:dyDescent="0.3">
      <c r="A41" s="1">
        <v>46161</v>
      </c>
      <c r="B41" s="1" t="str">
        <f t="shared" si="0"/>
        <v>Tuesday</v>
      </c>
      <c r="C41" s="1" t="str">
        <f t="shared" si="1"/>
        <v>Q2</v>
      </c>
      <c r="D41" s="1" t="str">
        <f t="shared" si="2"/>
        <v>May</v>
      </c>
      <c r="E41" s="1" t="str">
        <f t="shared" si="3"/>
        <v>2026</v>
      </c>
      <c r="F41" t="s">
        <v>13</v>
      </c>
      <c r="G41" s="3">
        <v>2734.7</v>
      </c>
      <c r="H41" s="3">
        <v>2774.5</v>
      </c>
      <c r="I41" s="3">
        <v>2697</v>
      </c>
      <c r="J41" s="3">
        <v>2689.8</v>
      </c>
      <c r="K41" s="3">
        <v>2712.7</v>
      </c>
      <c r="L41" s="3">
        <v>2725</v>
      </c>
      <c r="M41" s="3">
        <v>2740.14</v>
      </c>
      <c r="N41" s="3">
        <v>2803.1</v>
      </c>
      <c r="O41" s="3">
        <v>1753</v>
      </c>
      <c r="P41" s="3">
        <v>4204144</v>
      </c>
      <c r="Q41" s="3">
        <v>115540</v>
      </c>
    </row>
    <row r="42" spans="1:17" x14ac:dyDescent="0.3">
      <c r="A42" s="1">
        <v>46160</v>
      </c>
      <c r="B42" s="1" t="str">
        <f t="shared" si="0"/>
        <v>Monday</v>
      </c>
      <c r="C42" s="1" t="str">
        <f t="shared" si="1"/>
        <v>Q2</v>
      </c>
      <c r="D42" s="1" t="str">
        <f t="shared" si="2"/>
        <v>May</v>
      </c>
      <c r="E42" s="1" t="str">
        <f t="shared" si="3"/>
        <v>2026</v>
      </c>
      <c r="F42" t="s">
        <v>13</v>
      </c>
      <c r="G42" s="3">
        <v>2700</v>
      </c>
      <c r="H42" s="3">
        <v>2710</v>
      </c>
      <c r="I42" s="3">
        <v>2647.5</v>
      </c>
      <c r="J42" s="3">
        <v>2716</v>
      </c>
      <c r="K42" s="3">
        <v>2686.7</v>
      </c>
      <c r="L42" s="3">
        <v>2689.8</v>
      </c>
      <c r="M42" s="3">
        <v>2680.17</v>
      </c>
      <c r="N42" s="3">
        <v>2803.1</v>
      </c>
      <c r="O42" s="3">
        <v>1753</v>
      </c>
      <c r="P42" s="3">
        <v>2033884</v>
      </c>
      <c r="Q42" s="3">
        <v>84780</v>
      </c>
    </row>
    <row r="43" spans="1:17" x14ac:dyDescent="0.3">
      <c r="A43" s="1">
        <v>46157</v>
      </c>
      <c r="B43" s="1" t="str">
        <f t="shared" si="0"/>
        <v>Friday</v>
      </c>
      <c r="C43" s="1" t="str">
        <f t="shared" si="1"/>
        <v>Q2</v>
      </c>
      <c r="D43" s="1" t="str">
        <f t="shared" si="2"/>
        <v>May</v>
      </c>
      <c r="E43" s="1" t="str">
        <f t="shared" si="3"/>
        <v>2026</v>
      </c>
      <c r="F43" t="s">
        <v>13</v>
      </c>
      <c r="G43" s="3">
        <v>2781.1</v>
      </c>
      <c r="H43" s="3">
        <v>2803.1</v>
      </c>
      <c r="I43" s="3">
        <v>2661</v>
      </c>
      <c r="J43" s="3">
        <v>2712.9</v>
      </c>
      <c r="K43" s="3">
        <v>2718</v>
      </c>
      <c r="L43" s="3">
        <v>2716</v>
      </c>
      <c r="M43" s="3">
        <v>2736.77</v>
      </c>
      <c r="N43" s="3">
        <v>2803.1</v>
      </c>
      <c r="O43" s="3">
        <v>1753</v>
      </c>
      <c r="P43" s="3">
        <v>6742083</v>
      </c>
      <c r="Q43" s="3">
        <v>212829</v>
      </c>
    </row>
    <row r="44" spans="1:17" x14ac:dyDescent="0.3">
      <c r="A44" s="1">
        <v>46156</v>
      </c>
      <c r="B44" s="1" t="str">
        <f t="shared" si="0"/>
        <v>Thursday</v>
      </c>
      <c r="C44" s="1" t="str">
        <f t="shared" si="1"/>
        <v>Q2</v>
      </c>
      <c r="D44" s="1" t="str">
        <f t="shared" si="2"/>
        <v>May</v>
      </c>
      <c r="E44" s="1" t="str">
        <f t="shared" si="3"/>
        <v>2026</v>
      </c>
      <c r="F44" t="s">
        <v>13</v>
      </c>
      <c r="G44" s="3">
        <v>2530.1</v>
      </c>
      <c r="H44" s="3">
        <v>2720</v>
      </c>
      <c r="I44" s="3">
        <v>2530</v>
      </c>
      <c r="J44" s="3">
        <v>2498</v>
      </c>
      <c r="K44" s="3">
        <v>2719</v>
      </c>
      <c r="L44" s="3">
        <v>2712.9</v>
      </c>
      <c r="M44" s="3">
        <v>2646.22</v>
      </c>
      <c r="N44" s="3">
        <v>2720</v>
      </c>
      <c r="O44" s="3">
        <v>1753</v>
      </c>
      <c r="P44" s="3">
        <v>9539233</v>
      </c>
      <c r="Q44" s="3">
        <v>275483</v>
      </c>
    </row>
    <row r="45" spans="1:17" x14ac:dyDescent="0.3">
      <c r="A45" s="1">
        <v>46155</v>
      </c>
      <c r="B45" s="1" t="str">
        <f t="shared" si="0"/>
        <v>Wednesday</v>
      </c>
      <c r="C45" s="1" t="str">
        <f t="shared" si="1"/>
        <v>Q2</v>
      </c>
      <c r="D45" s="1" t="str">
        <f t="shared" si="2"/>
        <v>May</v>
      </c>
      <c r="E45" s="1" t="str">
        <f t="shared" si="3"/>
        <v>2026</v>
      </c>
      <c r="F45" t="s">
        <v>13</v>
      </c>
      <c r="G45" s="3">
        <v>2401.1</v>
      </c>
      <c r="H45" s="3">
        <v>2530</v>
      </c>
      <c r="I45" s="3">
        <v>2401.1</v>
      </c>
      <c r="J45" s="3">
        <v>2405.1999999999998</v>
      </c>
      <c r="K45" s="3">
        <v>2503</v>
      </c>
      <c r="L45" s="3">
        <v>2498</v>
      </c>
      <c r="M45" s="3">
        <v>2478.8000000000002</v>
      </c>
      <c r="N45" s="3">
        <v>2695</v>
      </c>
      <c r="O45" s="3">
        <v>1753</v>
      </c>
      <c r="P45" s="3">
        <v>2036291</v>
      </c>
      <c r="Q45" s="3">
        <v>73475</v>
      </c>
    </row>
    <row r="46" spans="1:17" x14ac:dyDescent="0.3">
      <c r="A46" s="1">
        <v>46154</v>
      </c>
      <c r="B46" s="1" t="str">
        <f t="shared" si="0"/>
        <v>Tuesday</v>
      </c>
      <c r="C46" s="1" t="str">
        <f t="shared" si="1"/>
        <v>Q2</v>
      </c>
      <c r="D46" s="1" t="str">
        <f t="shared" si="2"/>
        <v>May</v>
      </c>
      <c r="E46" s="1" t="str">
        <f t="shared" si="3"/>
        <v>2026</v>
      </c>
      <c r="F46" t="s">
        <v>13</v>
      </c>
      <c r="G46" s="3">
        <v>2487.6999999999998</v>
      </c>
      <c r="H46" s="3">
        <v>2511.6999999999998</v>
      </c>
      <c r="I46" s="3">
        <v>2400.1</v>
      </c>
      <c r="J46" s="3">
        <v>2500.1999999999998</v>
      </c>
      <c r="K46" s="3">
        <v>2401.1</v>
      </c>
      <c r="L46" s="3">
        <v>2405.1999999999998</v>
      </c>
      <c r="M46" s="3">
        <v>2438.9</v>
      </c>
      <c r="N46" s="3">
        <v>2695</v>
      </c>
      <c r="O46" s="3">
        <v>1753</v>
      </c>
      <c r="P46" s="3">
        <v>1459022</v>
      </c>
      <c r="Q46" s="3">
        <v>84072</v>
      </c>
    </row>
    <row r="47" spans="1:17" x14ac:dyDescent="0.3">
      <c r="A47" s="1">
        <v>46153</v>
      </c>
      <c r="B47" s="1" t="str">
        <f t="shared" si="0"/>
        <v>Monday</v>
      </c>
      <c r="C47" s="1" t="str">
        <f t="shared" si="1"/>
        <v>Q2</v>
      </c>
      <c r="D47" s="1" t="str">
        <f t="shared" si="2"/>
        <v>May</v>
      </c>
      <c r="E47" s="1" t="str">
        <f t="shared" si="3"/>
        <v>2026</v>
      </c>
      <c r="F47" t="s">
        <v>13</v>
      </c>
      <c r="G47" s="3">
        <v>2495</v>
      </c>
      <c r="H47" s="3">
        <v>2514</v>
      </c>
      <c r="I47" s="3">
        <v>2460</v>
      </c>
      <c r="J47" s="3">
        <v>2505.9</v>
      </c>
      <c r="K47" s="3">
        <v>2501</v>
      </c>
      <c r="L47" s="3">
        <v>2500.1999999999998</v>
      </c>
      <c r="M47" s="3">
        <v>2488.2399999999998</v>
      </c>
      <c r="N47" s="3">
        <v>2695</v>
      </c>
      <c r="O47" s="3">
        <v>1753</v>
      </c>
      <c r="P47" s="3">
        <v>1279432</v>
      </c>
      <c r="Q47" s="3">
        <v>52568</v>
      </c>
    </row>
    <row r="48" spans="1:17" x14ac:dyDescent="0.3">
      <c r="A48" s="1">
        <v>46150</v>
      </c>
      <c r="B48" s="1" t="str">
        <f t="shared" si="0"/>
        <v>Friday</v>
      </c>
      <c r="C48" s="1" t="str">
        <f t="shared" si="1"/>
        <v>Q2</v>
      </c>
      <c r="D48" s="1" t="str">
        <f t="shared" si="2"/>
        <v>May</v>
      </c>
      <c r="E48" s="1" t="str">
        <f t="shared" si="3"/>
        <v>2026</v>
      </c>
      <c r="F48" t="s">
        <v>13</v>
      </c>
      <c r="G48" s="3">
        <v>2519</v>
      </c>
      <c r="H48" s="3">
        <v>2546.1</v>
      </c>
      <c r="I48" s="3">
        <v>2500</v>
      </c>
      <c r="J48" s="3">
        <v>2513.6999999999998</v>
      </c>
      <c r="K48" s="3">
        <v>2502</v>
      </c>
      <c r="L48" s="3">
        <v>2505.9</v>
      </c>
      <c r="M48" s="3">
        <v>2521.0100000000002</v>
      </c>
      <c r="N48" s="3">
        <v>2695</v>
      </c>
      <c r="O48" s="3">
        <v>1753</v>
      </c>
      <c r="P48" s="3">
        <v>1499613</v>
      </c>
      <c r="Q48" s="3">
        <v>50320</v>
      </c>
    </row>
    <row r="49" spans="1:17" x14ac:dyDescent="0.3">
      <c r="A49" s="1">
        <v>46149</v>
      </c>
      <c r="B49" s="1" t="str">
        <f t="shared" si="0"/>
        <v>Thursday</v>
      </c>
      <c r="C49" s="1" t="str">
        <f t="shared" si="1"/>
        <v>Q2</v>
      </c>
      <c r="D49" s="1" t="str">
        <f t="shared" si="2"/>
        <v>May</v>
      </c>
      <c r="E49" s="1" t="str">
        <f t="shared" si="3"/>
        <v>2026</v>
      </c>
      <c r="F49" t="s">
        <v>13</v>
      </c>
      <c r="G49" s="3">
        <v>2540.3000000000002</v>
      </c>
      <c r="H49" s="3">
        <v>2549.9</v>
      </c>
      <c r="I49" s="3">
        <v>2506.1999999999998</v>
      </c>
      <c r="J49" s="3">
        <v>2540.3000000000002</v>
      </c>
      <c r="K49" s="3">
        <v>2520</v>
      </c>
      <c r="L49" s="3">
        <v>2513.6999999999998</v>
      </c>
      <c r="M49" s="3">
        <v>2526.6799999999998</v>
      </c>
      <c r="N49" s="3">
        <v>2695</v>
      </c>
      <c r="O49" s="3">
        <v>1753</v>
      </c>
      <c r="P49" s="3">
        <v>1098088</v>
      </c>
      <c r="Q49" s="3">
        <v>41967</v>
      </c>
    </row>
    <row r="50" spans="1:17" x14ac:dyDescent="0.3">
      <c r="A50" s="1">
        <v>46148</v>
      </c>
      <c r="B50" s="1" t="str">
        <f t="shared" si="0"/>
        <v>Wednesday</v>
      </c>
      <c r="C50" s="1" t="str">
        <f t="shared" si="1"/>
        <v>Q2</v>
      </c>
      <c r="D50" s="1" t="str">
        <f t="shared" si="2"/>
        <v>May</v>
      </c>
      <c r="E50" s="1" t="str">
        <f t="shared" si="3"/>
        <v>2026</v>
      </c>
      <c r="F50" t="s">
        <v>13</v>
      </c>
      <c r="G50" s="3">
        <v>2475.5</v>
      </c>
      <c r="H50" s="3">
        <v>2546.5</v>
      </c>
      <c r="I50" s="3">
        <v>2472.1999999999998</v>
      </c>
      <c r="J50" s="3">
        <v>2462</v>
      </c>
      <c r="K50" s="3">
        <v>2540.5</v>
      </c>
      <c r="L50" s="3">
        <v>2540.3000000000002</v>
      </c>
      <c r="M50" s="3">
        <v>2513.58</v>
      </c>
      <c r="N50" s="3">
        <v>2695</v>
      </c>
      <c r="O50" s="3">
        <v>1753</v>
      </c>
      <c r="P50" s="3">
        <v>3169133</v>
      </c>
      <c r="Q50" s="3">
        <v>98324</v>
      </c>
    </row>
    <row r="51" spans="1:17" x14ac:dyDescent="0.3">
      <c r="A51" s="1">
        <v>46147</v>
      </c>
      <c r="B51" s="1" t="str">
        <f t="shared" si="0"/>
        <v>Tuesday</v>
      </c>
      <c r="C51" s="1" t="str">
        <f t="shared" si="1"/>
        <v>Q2</v>
      </c>
      <c r="D51" s="1" t="str">
        <f t="shared" si="2"/>
        <v>May</v>
      </c>
      <c r="E51" s="1" t="str">
        <f t="shared" si="3"/>
        <v>2026</v>
      </c>
      <c r="F51" t="s">
        <v>13</v>
      </c>
      <c r="G51" s="3">
        <v>2470</v>
      </c>
      <c r="H51" s="3">
        <v>2511.9</v>
      </c>
      <c r="I51" s="3">
        <v>2450</v>
      </c>
      <c r="J51" s="3">
        <v>2485.6999999999998</v>
      </c>
      <c r="K51" s="3">
        <v>2462</v>
      </c>
      <c r="L51" s="3">
        <v>2462</v>
      </c>
      <c r="M51" s="3">
        <v>2479.69</v>
      </c>
      <c r="N51" s="3">
        <v>2695</v>
      </c>
      <c r="O51" s="3">
        <v>1753</v>
      </c>
      <c r="P51" s="3">
        <v>1622580</v>
      </c>
      <c r="Q51" s="3">
        <v>62556</v>
      </c>
    </row>
    <row r="52" spans="1:17" x14ac:dyDescent="0.3">
      <c r="A52" s="1">
        <v>46146</v>
      </c>
      <c r="B52" s="1" t="str">
        <f t="shared" si="0"/>
        <v>Monday</v>
      </c>
      <c r="C52" s="1" t="str">
        <f t="shared" si="1"/>
        <v>Q2</v>
      </c>
      <c r="D52" s="1" t="str">
        <f t="shared" si="2"/>
        <v>May</v>
      </c>
      <c r="E52" s="1" t="str">
        <f t="shared" si="3"/>
        <v>2026</v>
      </c>
      <c r="F52" t="s">
        <v>13</v>
      </c>
      <c r="G52" s="3">
        <v>2390.4</v>
      </c>
      <c r="H52" s="3">
        <v>2515</v>
      </c>
      <c r="I52" s="3">
        <v>2375</v>
      </c>
      <c r="J52" s="3">
        <v>2408.4</v>
      </c>
      <c r="K52" s="3">
        <v>2473</v>
      </c>
      <c r="L52" s="3">
        <v>2485.6999999999998</v>
      </c>
      <c r="M52" s="3">
        <v>2465.73</v>
      </c>
      <c r="N52" s="3">
        <v>2695</v>
      </c>
      <c r="O52" s="3">
        <v>1753</v>
      </c>
      <c r="P52" s="3">
        <v>6039537</v>
      </c>
      <c r="Q52" s="3">
        <v>162128</v>
      </c>
    </row>
    <row r="53" spans="1:17" x14ac:dyDescent="0.3">
      <c r="A53" s="1">
        <v>46142</v>
      </c>
      <c r="B53" s="1" t="str">
        <f t="shared" si="0"/>
        <v>Thursday</v>
      </c>
      <c r="C53" s="1" t="str">
        <f t="shared" si="1"/>
        <v>Q2</v>
      </c>
      <c r="D53" s="1" t="str">
        <f t="shared" si="2"/>
        <v>Apr</v>
      </c>
      <c r="E53" s="1" t="str">
        <f t="shared" si="3"/>
        <v>2026</v>
      </c>
      <c r="F53" t="s">
        <v>13</v>
      </c>
      <c r="G53" s="3">
        <v>2394.9</v>
      </c>
      <c r="H53" s="3">
        <v>2420</v>
      </c>
      <c r="I53" s="3">
        <v>2328.8000000000002</v>
      </c>
      <c r="J53" s="3">
        <v>2425.9</v>
      </c>
      <c r="K53" s="3">
        <v>2410.5</v>
      </c>
      <c r="L53" s="3">
        <v>2408.4</v>
      </c>
      <c r="M53" s="3">
        <v>2384.2600000000002</v>
      </c>
      <c r="N53" s="3">
        <v>2695</v>
      </c>
      <c r="O53" s="3">
        <v>1753</v>
      </c>
      <c r="P53" s="3">
        <v>3538354</v>
      </c>
      <c r="Q53" s="3">
        <v>91584</v>
      </c>
    </row>
    <row r="54" spans="1:17" x14ac:dyDescent="0.3">
      <c r="A54" s="1">
        <v>46141</v>
      </c>
      <c r="B54" s="1" t="str">
        <f t="shared" si="0"/>
        <v>Wednesday</v>
      </c>
      <c r="C54" s="1" t="str">
        <f t="shared" si="1"/>
        <v>Q2</v>
      </c>
      <c r="D54" s="1" t="str">
        <f t="shared" si="2"/>
        <v>Apr</v>
      </c>
      <c r="E54" s="1" t="str">
        <f t="shared" si="3"/>
        <v>2026</v>
      </c>
      <c r="F54" t="s">
        <v>13</v>
      </c>
      <c r="G54" s="3">
        <v>2427.6</v>
      </c>
      <c r="H54" s="3">
        <v>2443.8000000000002</v>
      </c>
      <c r="I54" s="3">
        <v>2388</v>
      </c>
      <c r="J54" s="3">
        <v>2412.4</v>
      </c>
      <c r="K54" s="3">
        <v>2415</v>
      </c>
      <c r="L54" s="3">
        <v>2425.9</v>
      </c>
      <c r="M54" s="3">
        <v>2424.36</v>
      </c>
      <c r="N54" s="3">
        <v>2695</v>
      </c>
      <c r="O54" s="3">
        <v>1753</v>
      </c>
      <c r="P54" s="3">
        <v>4656967</v>
      </c>
      <c r="Q54" s="3">
        <v>101622</v>
      </c>
    </row>
    <row r="55" spans="1:17" x14ac:dyDescent="0.3">
      <c r="A55" s="1">
        <v>46140</v>
      </c>
      <c r="B55" s="1" t="str">
        <f t="shared" si="0"/>
        <v>Tuesday</v>
      </c>
      <c r="C55" s="1" t="str">
        <f t="shared" si="1"/>
        <v>Q2</v>
      </c>
      <c r="D55" s="1" t="str">
        <f t="shared" si="2"/>
        <v>Apr</v>
      </c>
      <c r="E55" s="1" t="str">
        <f t="shared" si="3"/>
        <v>2026</v>
      </c>
      <c r="F55" t="s">
        <v>13</v>
      </c>
      <c r="G55" s="3">
        <v>2321.8000000000002</v>
      </c>
      <c r="H55" s="3">
        <v>2420</v>
      </c>
      <c r="I55" s="3">
        <v>2320.9</v>
      </c>
      <c r="J55" s="3">
        <v>2321.8000000000002</v>
      </c>
      <c r="K55" s="3">
        <v>2415</v>
      </c>
      <c r="L55" s="3">
        <v>2412.4</v>
      </c>
      <c r="M55" s="3">
        <v>2389.35</v>
      </c>
      <c r="N55" s="3">
        <v>2695</v>
      </c>
      <c r="O55" s="3">
        <v>1753</v>
      </c>
      <c r="P55" s="3">
        <v>4375556</v>
      </c>
      <c r="Q55" s="3">
        <v>136245</v>
      </c>
    </row>
    <row r="56" spans="1:17" x14ac:dyDescent="0.3">
      <c r="A56" s="1">
        <v>46139</v>
      </c>
      <c r="B56" s="1" t="str">
        <f t="shared" si="0"/>
        <v>Monday</v>
      </c>
      <c r="C56" s="1" t="str">
        <f t="shared" si="1"/>
        <v>Q2</v>
      </c>
      <c r="D56" s="1" t="str">
        <f t="shared" si="2"/>
        <v>Apr</v>
      </c>
      <c r="E56" s="1" t="str">
        <f t="shared" si="3"/>
        <v>2026</v>
      </c>
      <c r="F56" t="s">
        <v>13</v>
      </c>
      <c r="G56" s="3">
        <v>2300.1999999999998</v>
      </c>
      <c r="H56" s="3">
        <v>2337</v>
      </c>
      <c r="I56" s="3">
        <v>2286</v>
      </c>
      <c r="J56" s="3">
        <v>2287.6</v>
      </c>
      <c r="K56" s="3">
        <v>2322.3000000000002</v>
      </c>
      <c r="L56" s="3">
        <v>2321.8000000000002</v>
      </c>
      <c r="M56" s="3">
        <v>2317.6799999999998</v>
      </c>
      <c r="N56" s="3">
        <v>2695</v>
      </c>
      <c r="O56" s="3">
        <v>1753</v>
      </c>
      <c r="P56" s="3">
        <v>1500864</v>
      </c>
      <c r="Q56" s="3">
        <v>59958</v>
      </c>
    </row>
    <row r="57" spans="1:17" x14ac:dyDescent="0.3">
      <c r="A57" s="1">
        <v>46136</v>
      </c>
      <c r="B57" s="1" t="str">
        <f t="shared" si="0"/>
        <v>Friday</v>
      </c>
      <c r="C57" s="1" t="str">
        <f t="shared" si="1"/>
        <v>Q2</v>
      </c>
      <c r="D57" s="1" t="str">
        <f t="shared" si="2"/>
        <v>Apr</v>
      </c>
      <c r="E57" s="1" t="str">
        <f t="shared" si="3"/>
        <v>2026</v>
      </c>
      <c r="F57" t="s">
        <v>13</v>
      </c>
      <c r="G57" s="3">
        <v>2310.1999999999998</v>
      </c>
      <c r="H57" s="3">
        <v>2321.4</v>
      </c>
      <c r="I57" s="3">
        <v>2227</v>
      </c>
      <c r="J57" s="3">
        <v>2300</v>
      </c>
      <c r="K57" s="3">
        <v>2282</v>
      </c>
      <c r="L57" s="3">
        <v>2287.6</v>
      </c>
      <c r="M57" s="3">
        <v>2271.23</v>
      </c>
      <c r="N57" s="3">
        <v>2695</v>
      </c>
      <c r="O57" s="3">
        <v>1753</v>
      </c>
      <c r="P57" s="3">
        <v>2271317</v>
      </c>
      <c r="Q57" s="3">
        <v>72842</v>
      </c>
    </row>
    <row r="58" spans="1:17" x14ac:dyDescent="0.3">
      <c r="A58" s="1">
        <v>46135</v>
      </c>
      <c r="B58" s="1" t="str">
        <f t="shared" si="0"/>
        <v>Thursday</v>
      </c>
      <c r="C58" s="1" t="str">
        <f t="shared" si="1"/>
        <v>Q2</v>
      </c>
      <c r="D58" s="1" t="str">
        <f t="shared" si="2"/>
        <v>Apr</v>
      </c>
      <c r="E58" s="1" t="str">
        <f t="shared" si="3"/>
        <v>2026</v>
      </c>
      <c r="F58" t="s">
        <v>13</v>
      </c>
      <c r="G58" s="3">
        <v>2243.5</v>
      </c>
      <c r="H58" s="3">
        <v>2333.9</v>
      </c>
      <c r="I58" s="3">
        <v>2221.8000000000002</v>
      </c>
      <c r="J58" s="3">
        <v>2260.8000000000002</v>
      </c>
      <c r="K58" s="3">
        <v>2301</v>
      </c>
      <c r="L58" s="3">
        <v>2300</v>
      </c>
      <c r="M58" s="3">
        <v>2284.37</v>
      </c>
      <c r="N58" s="3">
        <v>2695</v>
      </c>
      <c r="O58" s="3">
        <v>1753</v>
      </c>
      <c r="P58" s="3">
        <v>2948009</v>
      </c>
      <c r="Q58" s="3">
        <v>94840</v>
      </c>
    </row>
    <row r="59" spans="1:17" x14ac:dyDescent="0.3">
      <c r="A59" s="1">
        <v>46134</v>
      </c>
      <c r="B59" s="1" t="str">
        <f t="shared" si="0"/>
        <v>Wednesday</v>
      </c>
      <c r="C59" s="1" t="str">
        <f t="shared" si="1"/>
        <v>Q2</v>
      </c>
      <c r="D59" s="1" t="str">
        <f t="shared" si="2"/>
        <v>Apr</v>
      </c>
      <c r="E59" s="1" t="str">
        <f t="shared" si="3"/>
        <v>2026</v>
      </c>
      <c r="F59" t="s">
        <v>13</v>
      </c>
      <c r="G59" s="3">
        <v>2229</v>
      </c>
      <c r="H59" s="3">
        <v>2278.6</v>
      </c>
      <c r="I59" s="3">
        <v>2224.1</v>
      </c>
      <c r="J59" s="3">
        <v>2226</v>
      </c>
      <c r="K59" s="3">
        <v>2258</v>
      </c>
      <c r="L59" s="3">
        <v>2260.8000000000002</v>
      </c>
      <c r="M59" s="3">
        <v>2248.52</v>
      </c>
      <c r="N59" s="3">
        <v>2695</v>
      </c>
      <c r="O59" s="3">
        <v>1753</v>
      </c>
      <c r="P59" s="3">
        <v>3517237</v>
      </c>
      <c r="Q59" s="3">
        <v>88875</v>
      </c>
    </row>
    <row r="60" spans="1:17" x14ac:dyDescent="0.3">
      <c r="A60" s="1">
        <v>46133</v>
      </c>
      <c r="B60" s="1" t="str">
        <f t="shared" si="0"/>
        <v>Tuesday</v>
      </c>
      <c r="C60" s="1" t="str">
        <f t="shared" si="1"/>
        <v>Q2</v>
      </c>
      <c r="D60" s="1" t="str">
        <f t="shared" si="2"/>
        <v>Apr</v>
      </c>
      <c r="E60" s="1" t="str">
        <f t="shared" si="3"/>
        <v>2026</v>
      </c>
      <c r="F60" t="s">
        <v>13</v>
      </c>
      <c r="G60" s="3">
        <v>2229.6999999999998</v>
      </c>
      <c r="H60" s="3">
        <v>2255</v>
      </c>
      <c r="I60" s="3">
        <v>2220</v>
      </c>
      <c r="J60" s="3">
        <v>2229.6</v>
      </c>
      <c r="K60" s="3">
        <v>2230</v>
      </c>
      <c r="L60" s="3">
        <v>2226</v>
      </c>
      <c r="M60" s="3">
        <v>2234.92</v>
      </c>
      <c r="N60" s="3">
        <v>2695</v>
      </c>
      <c r="O60" s="3">
        <v>1753</v>
      </c>
      <c r="P60" s="3">
        <v>1818221</v>
      </c>
      <c r="Q60" s="3">
        <v>45092</v>
      </c>
    </row>
    <row r="61" spans="1:17" x14ac:dyDescent="0.3">
      <c r="A61" s="1">
        <v>46132</v>
      </c>
      <c r="B61" s="1" t="str">
        <f t="shared" si="0"/>
        <v>Monday</v>
      </c>
      <c r="C61" s="1" t="str">
        <f t="shared" si="1"/>
        <v>Q2</v>
      </c>
      <c r="D61" s="1" t="str">
        <f t="shared" si="2"/>
        <v>Apr</v>
      </c>
      <c r="E61" s="1" t="str">
        <f t="shared" si="3"/>
        <v>2026</v>
      </c>
      <c r="F61" t="s">
        <v>13</v>
      </c>
      <c r="G61" s="3">
        <v>2218.3000000000002</v>
      </c>
      <c r="H61" s="3">
        <v>2280.1</v>
      </c>
      <c r="I61" s="3">
        <v>2202.1999999999998</v>
      </c>
      <c r="J61" s="3">
        <v>2218.3000000000002</v>
      </c>
      <c r="K61" s="3">
        <v>2225.6</v>
      </c>
      <c r="L61" s="3">
        <v>2229.6</v>
      </c>
      <c r="M61" s="3">
        <v>2241.7600000000002</v>
      </c>
      <c r="N61" s="3">
        <v>2695</v>
      </c>
      <c r="O61" s="3">
        <v>1753</v>
      </c>
      <c r="P61" s="3">
        <v>1795338</v>
      </c>
      <c r="Q61" s="3">
        <v>66823</v>
      </c>
    </row>
    <row r="62" spans="1:17" x14ac:dyDescent="0.3">
      <c r="A62" s="1">
        <v>46129</v>
      </c>
      <c r="B62" s="1" t="str">
        <f t="shared" si="0"/>
        <v>Friday</v>
      </c>
      <c r="C62" s="1" t="str">
        <f t="shared" si="1"/>
        <v>Q2</v>
      </c>
      <c r="D62" s="1" t="str">
        <f t="shared" si="2"/>
        <v>Apr</v>
      </c>
      <c r="E62" s="1" t="str">
        <f t="shared" si="3"/>
        <v>2026</v>
      </c>
      <c r="F62" t="s">
        <v>13</v>
      </c>
      <c r="G62" s="3">
        <v>2240</v>
      </c>
      <c r="H62" s="3">
        <v>2240</v>
      </c>
      <c r="I62" s="3">
        <v>2186.1</v>
      </c>
      <c r="J62" s="3">
        <v>2203.6999999999998</v>
      </c>
      <c r="K62" s="3">
        <v>2224</v>
      </c>
      <c r="L62" s="3">
        <v>2218.3000000000002</v>
      </c>
      <c r="M62" s="3">
        <v>2206.15</v>
      </c>
      <c r="N62" s="3">
        <v>2695</v>
      </c>
      <c r="O62" s="3">
        <v>1753</v>
      </c>
      <c r="P62" s="3">
        <v>2408901</v>
      </c>
      <c r="Q62" s="3">
        <v>66884</v>
      </c>
    </row>
    <row r="63" spans="1:17" x14ac:dyDescent="0.3">
      <c r="A63" s="1">
        <v>46128</v>
      </c>
      <c r="B63" s="1" t="str">
        <f t="shared" si="0"/>
        <v>Thursday</v>
      </c>
      <c r="C63" s="1" t="str">
        <f t="shared" si="1"/>
        <v>Q2</v>
      </c>
      <c r="D63" s="1" t="str">
        <f t="shared" si="2"/>
        <v>Apr</v>
      </c>
      <c r="E63" s="1" t="str">
        <f t="shared" si="3"/>
        <v>2026</v>
      </c>
      <c r="F63" t="s">
        <v>13</v>
      </c>
      <c r="G63" s="3">
        <v>2170</v>
      </c>
      <c r="H63" s="3">
        <v>2210.4</v>
      </c>
      <c r="I63" s="3">
        <v>2161.1</v>
      </c>
      <c r="J63" s="3">
        <v>2144.4</v>
      </c>
      <c r="K63" s="3">
        <v>2210</v>
      </c>
      <c r="L63" s="3">
        <v>2203.6999999999998</v>
      </c>
      <c r="M63" s="3">
        <v>2183.39</v>
      </c>
      <c r="N63" s="3">
        <v>2695</v>
      </c>
      <c r="O63" s="3">
        <v>1753</v>
      </c>
      <c r="P63" s="3">
        <v>2188912</v>
      </c>
      <c r="Q63" s="3">
        <v>67177</v>
      </c>
    </row>
    <row r="64" spans="1:17" x14ac:dyDescent="0.3">
      <c r="A64" s="1">
        <v>46127</v>
      </c>
      <c r="B64" s="1" t="str">
        <f t="shared" si="0"/>
        <v>Wednesday</v>
      </c>
      <c r="C64" s="1" t="str">
        <f t="shared" si="1"/>
        <v>Q2</v>
      </c>
      <c r="D64" s="1" t="str">
        <f t="shared" si="2"/>
        <v>Apr</v>
      </c>
      <c r="E64" s="1" t="str">
        <f t="shared" si="3"/>
        <v>2026</v>
      </c>
      <c r="F64" t="s">
        <v>13</v>
      </c>
      <c r="G64" s="3">
        <v>2187</v>
      </c>
      <c r="H64" s="3">
        <v>2200</v>
      </c>
      <c r="I64" s="3">
        <v>2136</v>
      </c>
      <c r="J64" s="3">
        <v>2129</v>
      </c>
      <c r="K64" s="3">
        <v>2138</v>
      </c>
      <c r="L64" s="3">
        <v>2144.4</v>
      </c>
      <c r="M64" s="3">
        <v>2169.44</v>
      </c>
      <c r="N64" s="3">
        <v>2695</v>
      </c>
      <c r="O64" s="3">
        <v>1753</v>
      </c>
      <c r="P64" s="3">
        <v>1779015</v>
      </c>
      <c r="Q64" s="3">
        <v>50234</v>
      </c>
    </row>
    <row r="65" spans="1:17" x14ac:dyDescent="0.3">
      <c r="A65" s="1">
        <v>46125</v>
      </c>
      <c r="B65" s="1" t="str">
        <f t="shared" si="0"/>
        <v>Monday</v>
      </c>
      <c r="C65" s="1" t="str">
        <f t="shared" si="1"/>
        <v>Q2</v>
      </c>
      <c r="D65" s="1" t="str">
        <f t="shared" si="2"/>
        <v>Apr</v>
      </c>
      <c r="E65" s="1" t="str">
        <f t="shared" si="3"/>
        <v>2026</v>
      </c>
      <c r="F65" t="s">
        <v>13</v>
      </c>
      <c r="G65" s="3">
        <v>2010.2</v>
      </c>
      <c r="H65" s="3">
        <v>2159</v>
      </c>
      <c r="I65" s="3">
        <v>2000.2</v>
      </c>
      <c r="J65" s="3">
        <v>2086.8000000000002</v>
      </c>
      <c r="K65" s="3">
        <v>2130.1999999999998</v>
      </c>
      <c r="L65" s="3">
        <v>2129</v>
      </c>
      <c r="M65" s="3">
        <v>2115.4299999999998</v>
      </c>
      <c r="N65" s="3">
        <v>2695</v>
      </c>
      <c r="O65" s="3">
        <v>1753</v>
      </c>
      <c r="P65" s="3">
        <v>3729773</v>
      </c>
      <c r="Q65" s="3">
        <v>105757</v>
      </c>
    </row>
    <row r="66" spans="1:17" x14ac:dyDescent="0.3">
      <c r="A66" s="1">
        <v>46122</v>
      </c>
      <c r="B66" s="1" t="str">
        <f t="shared" si="0"/>
        <v>Friday</v>
      </c>
      <c r="C66" s="1" t="str">
        <f t="shared" si="1"/>
        <v>Q2</v>
      </c>
      <c r="D66" s="1" t="str">
        <f t="shared" si="2"/>
        <v>Apr</v>
      </c>
      <c r="E66" s="1" t="str">
        <f t="shared" si="3"/>
        <v>2026</v>
      </c>
      <c r="F66" t="s">
        <v>13</v>
      </c>
      <c r="G66" s="3">
        <v>2043.1</v>
      </c>
      <c r="H66" s="3">
        <v>2094.6</v>
      </c>
      <c r="I66" s="3">
        <v>2041.7</v>
      </c>
      <c r="J66" s="3">
        <v>2040.5</v>
      </c>
      <c r="K66" s="3">
        <v>2087.1999999999998</v>
      </c>
      <c r="L66" s="3">
        <v>2086.8000000000002</v>
      </c>
      <c r="M66" s="3">
        <v>2076.69</v>
      </c>
      <c r="N66" s="3">
        <v>2695</v>
      </c>
      <c r="O66" s="3">
        <v>1753</v>
      </c>
      <c r="P66" s="3">
        <v>1700162</v>
      </c>
      <c r="Q66" s="3">
        <v>55344</v>
      </c>
    </row>
    <row r="67" spans="1:17" x14ac:dyDescent="0.3">
      <c r="A67" s="1">
        <v>46121</v>
      </c>
      <c r="B67" s="1" t="str">
        <f t="shared" ref="B67:B130" si="4">TEXT(A67,"dddd")</f>
        <v>Thursday</v>
      </c>
      <c r="C67" s="1" t="str">
        <f t="shared" ref="C67:C130" si="5">"Q"&amp;ROUNDUP(MONTH(A67)/3,0)</f>
        <v>Q2</v>
      </c>
      <c r="D67" s="1" t="str">
        <f t="shared" ref="D67:D130" si="6">TEXT(A67,"MMM")</f>
        <v>Apr</v>
      </c>
      <c r="E67" s="1" t="str">
        <f t="shared" ref="E67:E130" si="7">TEXT(A67,"YYYY")</f>
        <v>2026</v>
      </c>
      <c r="F67" t="s">
        <v>13</v>
      </c>
      <c r="G67" s="3">
        <v>2039.8</v>
      </c>
      <c r="H67" s="3">
        <v>2065</v>
      </c>
      <c r="I67" s="3">
        <v>2010.3</v>
      </c>
      <c r="J67" s="3">
        <v>2043.8</v>
      </c>
      <c r="K67" s="3">
        <v>2040</v>
      </c>
      <c r="L67" s="3">
        <v>2040.5</v>
      </c>
      <c r="M67" s="3">
        <v>2039.3</v>
      </c>
      <c r="N67" s="3">
        <v>2695</v>
      </c>
      <c r="O67" s="3">
        <v>1753</v>
      </c>
      <c r="P67" s="3">
        <v>2481188</v>
      </c>
      <c r="Q67" s="3">
        <v>57605</v>
      </c>
    </row>
    <row r="68" spans="1:17" x14ac:dyDescent="0.3">
      <c r="A68" s="1">
        <v>46120</v>
      </c>
      <c r="B68" s="1" t="str">
        <f t="shared" si="4"/>
        <v>Wednesday</v>
      </c>
      <c r="C68" s="1" t="str">
        <f t="shared" si="5"/>
        <v>Q2</v>
      </c>
      <c r="D68" s="1" t="str">
        <f t="shared" si="6"/>
        <v>Apr</v>
      </c>
      <c r="E68" s="1" t="str">
        <f t="shared" si="7"/>
        <v>2026</v>
      </c>
      <c r="F68" t="s">
        <v>13</v>
      </c>
      <c r="G68" s="3">
        <v>2000</v>
      </c>
      <c r="H68" s="3">
        <v>2099</v>
      </c>
      <c r="I68" s="3">
        <v>1975.1</v>
      </c>
      <c r="J68" s="3">
        <v>1882.1</v>
      </c>
      <c r="K68" s="3">
        <v>2044.9</v>
      </c>
      <c r="L68" s="3">
        <v>2043.8</v>
      </c>
      <c r="M68" s="3">
        <v>2031.33</v>
      </c>
      <c r="N68" s="3">
        <v>2695</v>
      </c>
      <c r="O68" s="3">
        <v>1753</v>
      </c>
      <c r="P68" s="3">
        <v>4197831</v>
      </c>
      <c r="Q68" s="3">
        <v>113934</v>
      </c>
    </row>
    <row r="69" spans="1:17" x14ac:dyDescent="0.3">
      <c r="A69" s="1">
        <v>46119</v>
      </c>
      <c r="B69" s="1" t="str">
        <f t="shared" si="4"/>
        <v>Tuesday</v>
      </c>
      <c r="C69" s="1" t="str">
        <f t="shared" si="5"/>
        <v>Q2</v>
      </c>
      <c r="D69" s="1" t="str">
        <f t="shared" si="6"/>
        <v>Apr</v>
      </c>
      <c r="E69" s="1" t="str">
        <f t="shared" si="7"/>
        <v>2026</v>
      </c>
      <c r="F69" t="s">
        <v>13</v>
      </c>
      <c r="G69" s="3">
        <v>1890</v>
      </c>
      <c r="H69" s="3">
        <v>1904.6</v>
      </c>
      <c r="I69" s="3">
        <v>1865</v>
      </c>
      <c r="J69" s="3">
        <v>1902.2</v>
      </c>
      <c r="K69" s="3">
        <v>1884</v>
      </c>
      <c r="L69" s="3">
        <v>1882.1</v>
      </c>
      <c r="M69" s="3">
        <v>1878.98</v>
      </c>
      <c r="N69" s="3">
        <v>2695</v>
      </c>
      <c r="O69" s="3">
        <v>1753</v>
      </c>
      <c r="P69" s="3">
        <v>1566909</v>
      </c>
      <c r="Q69" s="3">
        <v>69466</v>
      </c>
    </row>
    <row r="70" spans="1:17" x14ac:dyDescent="0.3">
      <c r="A70" s="1">
        <v>46118</v>
      </c>
      <c r="B70" s="1" t="str">
        <f t="shared" si="4"/>
        <v>Monday</v>
      </c>
      <c r="C70" s="1" t="str">
        <f t="shared" si="5"/>
        <v>Q2</v>
      </c>
      <c r="D70" s="1" t="str">
        <f t="shared" si="6"/>
        <v>Apr</v>
      </c>
      <c r="E70" s="1" t="str">
        <f t="shared" si="7"/>
        <v>2026</v>
      </c>
      <c r="F70" t="s">
        <v>13</v>
      </c>
      <c r="G70" s="3">
        <v>1836.9</v>
      </c>
      <c r="H70" s="3">
        <v>1909</v>
      </c>
      <c r="I70" s="3">
        <v>1802.1</v>
      </c>
      <c r="J70" s="3">
        <v>1834.2</v>
      </c>
      <c r="K70" s="3">
        <v>1899.5</v>
      </c>
      <c r="L70" s="3">
        <v>1902.2</v>
      </c>
      <c r="M70" s="3">
        <v>1857.26</v>
      </c>
      <c r="N70" s="3">
        <v>2695</v>
      </c>
      <c r="O70" s="3">
        <v>1753</v>
      </c>
      <c r="P70" s="3">
        <v>3153437</v>
      </c>
      <c r="Q70" s="3">
        <v>110565</v>
      </c>
    </row>
    <row r="71" spans="1:17" x14ac:dyDescent="0.3">
      <c r="A71" s="1">
        <v>46114</v>
      </c>
      <c r="B71" s="1" t="str">
        <f t="shared" si="4"/>
        <v>Thursday</v>
      </c>
      <c r="C71" s="1" t="str">
        <f t="shared" si="5"/>
        <v>Q2</v>
      </c>
      <c r="D71" s="1" t="str">
        <f t="shared" si="6"/>
        <v>Apr</v>
      </c>
      <c r="E71" s="1" t="str">
        <f t="shared" si="7"/>
        <v>2026</v>
      </c>
      <c r="F71" t="s">
        <v>13</v>
      </c>
      <c r="G71" s="3">
        <v>1805</v>
      </c>
      <c r="H71" s="3">
        <v>1842.9</v>
      </c>
      <c r="I71" s="3">
        <v>1770.1</v>
      </c>
      <c r="J71" s="3">
        <v>1842.5</v>
      </c>
      <c r="K71" s="3">
        <v>1833</v>
      </c>
      <c r="L71" s="3">
        <v>1834.2</v>
      </c>
      <c r="M71" s="3">
        <v>1799.58</v>
      </c>
      <c r="N71" s="3">
        <v>2695</v>
      </c>
      <c r="O71" s="3">
        <v>1753</v>
      </c>
      <c r="P71" s="3">
        <v>1830598</v>
      </c>
      <c r="Q71" s="3">
        <v>69892</v>
      </c>
    </row>
    <row r="72" spans="1:17" x14ac:dyDescent="0.3">
      <c r="A72" s="1">
        <v>46113</v>
      </c>
      <c r="B72" s="1" t="str">
        <f t="shared" si="4"/>
        <v>Wednesday</v>
      </c>
      <c r="C72" s="1" t="str">
        <f t="shared" si="5"/>
        <v>Q2</v>
      </c>
      <c r="D72" s="1" t="str">
        <f t="shared" si="6"/>
        <v>Apr</v>
      </c>
      <c r="E72" s="1" t="str">
        <f t="shared" si="7"/>
        <v>2026</v>
      </c>
      <c r="F72" t="s">
        <v>13</v>
      </c>
      <c r="G72" s="3">
        <v>1825</v>
      </c>
      <c r="H72" s="3">
        <v>1870</v>
      </c>
      <c r="I72" s="3">
        <v>1803.8</v>
      </c>
      <c r="J72" s="3">
        <v>1758.8</v>
      </c>
      <c r="K72" s="3">
        <v>1841.9</v>
      </c>
      <c r="L72" s="3">
        <v>1842.5</v>
      </c>
      <c r="M72" s="3">
        <v>1844.29</v>
      </c>
      <c r="N72" s="3">
        <v>2695</v>
      </c>
      <c r="O72" s="3">
        <v>1753</v>
      </c>
      <c r="P72" s="3">
        <v>2328166</v>
      </c>
      <c r="Q72" s="3">
        <v>65838</v>
      </c>
    </row>
    <row r="73" spans="1:17" x14ac:dyDescent="0.3">
      <c r="A73" s="1">
        <v>46111</v>
      </c>
      <c r="B73" s="1" t="str">
        <f t="shared" si="4"/>
        <v>Monday</v>
      </c>
      <c r="C73" s="1" t="str">
        <f t="shared" si="5"/>
        <v>Q1</v>
      </c>
      <c r="D73" s="1" t="str">
        <f t="shared" si="6"/>
        <v>Mar</v>
      </c>
      <c r="E73" s="1" t="str">
        <f t="shared" si="7"/>
        <v>2026</v>
      </c>
      <c r="F73" t="s">
        <v>13</v>
      </c>
      <c r="G73" s="3">
        <v>1810</v>
      </c>
      <c r="H73" s="3">
        <v>1837.8</v>
      </c>
      <c r="I73" s="3">
        <v>1753</v>
      </c>
      <c r="J73" s="3">
        <v>1823</v>
      </c>
      <c r="K73" s="3">
        <v>1764</v>
      </c>
      <c r="L73" s="3">
        <v>1758.8</v>
      </c>
      <c r="M73" s="3">
        <v>1786.59</v>
      </c>
      <c r="N73" s="3">
        <v>2695</v>
      </c>
      <c r="O73" s="3">
        <v>1753</v>
      </c>
      <c r="P73" s="3">
        <v>2825299</v>
      </c>
      <c r="Q73" s="3">
        <v>88879</v>
      </c>
    </row>
    <row r="74" spans="1:17" x14ac:dyDescent="0.3">
      <c r="A74" s="1">
        <v>46108</v>
      </c>
      <c r="B74" s="1" t="str">
        <f t="shared" si="4"/>
        <v>Friday</v>
      </c>
      <c r="C74" s="1" t="str">
        <f t="shared" si="5"/>
        <v>Q1</v>
      </c>
      <c r="D74" s="1" t="str">
        <f t="shared" si="6"/>
        <v>Mar</v>
      </c>
      <c r="E74" s="1" t="str">
        <f t="shared" si="7"/>
        <v>2026</v>
      </c>
      <c r="F74" t="s">
        <v>13</v>
      </c>
      <c r="G74" s="3">
        <v>1880</v>
      </c>
      <c r="H74" s="3">
        <v>1883.2</v>
      </c>
      <c r="I74" s="3">
        <v>1816.5</v>
      </c>
      <c r="J74" s="3">
        <v>1886.6</v>
      </c>
      <c r="K74" s="3">
        <v>1824</v>
      </c>
      <c r="L74" s="3">
        <v>1823</v>
      </c>
      <c r="M74" s="3">
        <v>1835.51</v>
      </c>
      <c r="N74" s="3">
        <v>2695</v>
      </c>
      <c r="O74" s="3">
        <v>1813.7</v>
      </c>
      <c r="P74" s="3">
        <v>2585257</v>
      </c>
      <c r="Q74" s="3">
        <v>74139</v>
      </c>
    </row>
    <row r="75" spans="1:17" x14ac:dyDescent="0.3">
      <c r="A75" s="1">
        <v>46106</v>
      </c>
      <c r="B75" s="1" t="str">
        <f t="shared" si="4"/>
        <v>Wednesday</v>
      </c>
      <c r="C75" s="1" t="str">
        <f t="shared" si="5"/>
        <v>Q1</v>
      </c>
      <c r="D75" s="1" t="str">
        <f t="shared" si="6"/>
        <v>Mar</v>
      </c>
      <c r="E75" s="1" t="str">
        <f t="shared" si="7"/>
        <v>2026</v>
      </c>
      <c r="F75" t="s">
        <v>13</v>
      </c>
      <c r="G75" s="3">
        <v>1847.9</v>
      </c>
      <c r="H75" s="3">
        <v>1911</v>
      </c>
      <c r="I75" s="3">
        <v>1839.2</v>
      </c>
      <c r="J75" s="3">
        <v>1817.9</v>
      </c>
      <c r="K75" s="3">
        <v>1885</v>
      </c>
      <c r="L75" s="3">
        <v>1886.6</v>
      </c>
      <c r="M75" s="3">
        <v>1887.43</v>
      </c>
      <c r="N75" s="3">
        <v>2695</v>
      </c>
      <c r="O75" s="3">
        <v>1813.7</v>
      </c>
      <c r="P75" s="3">
        <v>2537690</v>
      </c>
      <c r="Q75" s="3">
        <v>76536</v>
      </c>
    </row>
    <row r="76" spans="1:17" x14ac:dyDescent="0.3">
      <c r="A76" s="1">
        <v>46105</v>
      </c>
      <c r="B76" s="1" t="str">
        <f t="shared" si="4"/>
        <v>Tuesday</v>
      </c>
      <c r="C76" s="1" t="str">
        <f t="shared" si="5"/>
        <v>Q1</v>
      </c>
      <c r="D76" s="1" t="str">
        <f t="shared" si="6"/>
        <v>Mar</v>
      </c>
      <c r="E76" s="1" t="str">
        <f t="shared" si="7"/>
        <v>2026</v>
      </c>
      <c r="F76" t="s">
        <v>13</v>
      </c>
      <c r="G76" s="3">
        <v>1892.7</v>
      </c>
      <c r="H76" s="3">
        <v>1893</v>
      </c>
      <c r="I76" s="3">
        <v>1813.7</v>
      </c>
      <c r="J76" s="3">
        <v>1833</v>
      </c>
      <c r="K76" s="3">
        <v>1825.2</v>
      </c>
      <c r="L76" s="3">
        <v>1817.9</v>
      </c>
      <c r="M76" s="3">
        <v>1830.21</v>
      </c>
      <c r="N76" s="3">
        <v>2695</v>
      </c>
      <c r="O76" s="3">
        <v>1813.7</v>
      </c>
      <c r="P76" s="3">
        <v>11211381</v>
      </c>
      <c r="Q76" s="3">
        <v>143289</v>
      </c>
    </row>
    <row r="77" spans="1:17" x14ac:dyDescent="0.3">
      <c r="A77" s="1">
        <v>46104</v>
      </c>
      <c r="B77" s="1" t="str">
        <f t="shared" si="4"/>
        <v>Monday</v>
      </c>
      <c r="C77" s="1" t="str">
        <f t="shared" si="5"/>
        <v>Q1</v>
      </c>
      <c r="D77" s="1" t="str">
        <f t="shared" si="6"/>
        <v>Mar</v>
      </c>
      <c r="E77" s="1" t="str">
        <f t="shared" si="7"/>
        <v>2026</v>
      </c>
      <c r="F77" t="s">
        <v>13</v>
      </c>
      <c r="G77" s="3">
        <v>1910</v>
      </c>
      <c r="H77" s="3">
        <v>1910.1</v>
      </c>
      <c r="I77" s="3">
        <v>1820.5</v>
      </c>
      <c r="J77" s="3">
        <v>1927.1</v>
      </c>
      <c r="K77" s="3">
        <v>1831</v>
      </c>
      <c r="L77" s="3">
        <v>1833</v>
      </c>
      <c r="M77" s="3">
        <v>1844.83</v>
      </c>
      <c r="N77" s="3">
        <v>2695</v>
      </c>
      <c r="O77" s="3">
        <v>1820.5</v>
      </c>
      <c r="P77" s="3">
        <v>2370668</v>
      </c>
      <c r="Q77" s="3">
        <v>92190</v>
      </c>
    </row>
    <row r="78" spans="1:17" x14ac:dyDescent="0.3">
      <c r="A78" s="1">
        <v>46101</v>
      </c>
      <c r="B78" s="1" t="str">
        <f t="shared" si="4"/>
        <v>Friday</v>
      </c>
      <c r="C78" s="1" t="str">
        <f t="shared" si="5"/>
        <v>Q1</v>
      </c>
      <c r="D78" s="1" t="str">
        <f t="shared" si="6"/>
        <v>Mar</v>
      </c>
      <c r="E78" s="1" t="str">
        <f t="shared" si="7"/>
        <v>2026</v>
      </c>
      <c r="F78" t="s">
        <v>13</v>
      </c>
      <c r="G78" s="3">
        <v>1951</v>
      </c>
      <c r="H78" s="3">
        <v>1974.4</v>
      </c>
      <c r="I78" s="3">
        <v>1919.9</v>
      </c>
      <c r="J78" s="3">
        <v>1936.8</v>
      </c>
      <c r="K78" s="3">
        <v>1928.9</v>
      </c>
      <c r="L78" s="3">
        <v>1927.1</v>
      </c>
      <c r="M78" s="3">
        <v>1944.09</v>
      </c>
      <c r="N78" s="3">
        <v>2695</v>
      </c>
      <c r="O78" s="3">
        <v>1848</v>
      </c>
      <c r="P78" s="3">
        <v>1175662</v>
      </c>
      <c r="Q78" s="3">
        <v>44164</v>
      </c>
    </row>
    <row r="79" spans="1:17" x14ac:dyDescent="0.3">
      <c r="A79" s="1">
        <v>46100</v>
      </c>
      <c r="B79" s="1" t="str">
        <f t="shared" si="4"/>
        <v>Thursday</v>
      </c>
      <c r="C79" s="1" t="str">
        <f t="shared" si="5"/>
        <v>Q1</v>
      </c>
      <c r="D79" s="1" t="str">
        <f t="shared" si="6"/>
        <v>Mar</v>
      </c>
      <c r="E79" s="1" t="str">
        <f t="shared" si="7"/>
        <v>2026</v>
      </c>
      <c r="F79" t="s">
        <v>13</v>
      </c>
      <c r="G79" s="3">
        <v>1984</v>
      </c>
      <c r="H79" s="3">
        <v>1988.6</v>
      </c>
      <c r="I79" s="3">
        <v>1930</v>
      </c>
      <c r="J79" s="3">
        <v>2007.2</v>
      </c>
      <c r="K79" s="3">
        <v>1938.4</v>
      </c>
      <c r="L79" s="3">
        <v>1936.8</v>
      </c>
      <c r="M79" s="3">
        <v>1947.59</v>
      </c>
      <c r="N79" s="3">
        <v>2695</v>
      </c>
      <c r="O79" s="3">
        <v>1848</v>
      </c>
      <c r="P79" s="3">
        <v>1510588</v>
      </c>
      <c r="Q79" s="3">
        <v>71579</v>
      </c>
    </row>
    <row r="80" spans="1:17" x14ac:dyDescent="0.3">
      <c r="A80" s="1">
        <v>46099</v>
      </c>
      <c r="B80" s="1" t="str">
        <f t="shared" si="4"/>
        <v>Wednesday</v>
      </c>
      <c r="C80" s="1" t="str">
        <f t="shared" si="5"/>
        <v>Q1</v>
      </c>
      <c r="D80" s="1" t="str">
        <f t="shared" si="6"/>
        <v>Mar</v>
      </c>
      <c r="E80" s="1" t="str">
        <f t="shared" si="7"/>
        <v>2026</v>
      </c>
      <c r="F80" t="s">
        <v>13</v>
      </c>
      <c r="G80" s="3">
        <v>1988.9</v>
      </c>
      <c r="H80" s="3">
        <v>2027</v>
      </c>
      <c r="I80" s="3">
        <v>1982.2</v>
      </c>
      <c r="J80" s="3">
        <v>1975.4</v>
      </c>
      <c r="K80" s="3">
        <v>2008</v>
      </c>
      <c r="L80" s="3">
        <v>2007.2</v>
      </c>
      <c r="M80" s="3">
        <v>2011.93</v>
      </c>
      <c r="N80" s="3">
        <v>2695</v>
      </c>
      <c r="O80" s="3">
        <v>1848</v>
      </c>
      <c r="P80" s="3">
        <v>1041095</v>
      </c>
      <c r="Q80" s="3">
        <v>53221</v>
      </c>
    </row>
    <row r="81" spans="1:17" x14ac:dyDescent="0.3">
      <c r="A81" s="1">
        <v>46098</v>
      </c>
      <c r="B81" s="1" t="str">
        <f t="shared" si="4"/>
        <v>Tuesday</v>
      </c>
      <c r="C81" s="1" t="str">
        <f t="shared" si="5"/>
        <v>Q1</v>
      </c>
      <c r="D81" s="1" t="str">
        <f t="shared" si="6"/>
        <v>Mar</v>
      </c>
      <c r="E81" s="1" t="str">
        <f t="shared" si="7"/>
        <v>2026</v>
      </c>
      <c r="F81" t="s">
        <v>13</v>
      </c>
      <c r="G81" s="3">
        <v>1989.9</v>
      </c>
      <c r="H81" s="3">
        <v>1990</v>
      </c>
      <c r="I81" s="3">
        <v>1945</v>
      </c>
      <c r="J81" s="3">
        <v>1978</v>
      </c>
      <c r="K81" s="3">
        <v>1975</v>
      </c>
      <c r="L81" s="3">
        <v>1975.4</v>
      </c>
      <c r="M81" s="3">
        <v>1967.11</v>
      </c>
      <c r="N81" s="3">
        <v>2695</v>
      </c>
      <c r="O81" s="3">
        <v>1848</v>
      </c>
      <c r="P81" s="3">
        <v>1268988</v>
      </c>
      <c r="Q81" s="3">
        <v>57212</v>
      </c>
    </row>
    <row r="82" spans="1:17" x14ac:dyDescent="0.3">
      <c r="A82" s="1">
        <v>46097</v>
      </c>
      <c r="B82" s="1" t="str">
        <f t="shared" si="4"/>
        <v>Monday</v>
      </c>
      <c r="C82" s="1" t="str">
        <f t="shared" si="5"/>
        <v>Q1</v>
      </c>
      <c r="D82" s="1" t="str">
        <f t="shared" si="6"/>
        <v>Mar</v>
      </c>
      <c r="E82" s="1" t="str">
        <f t="shared" si="7"/>
        <v>2026</v>
      </c>
      <c r="F82" t="s">
        <v>13</v>
      </c>
      <c r="G82" s="3">
        <v>1961</v>
      </c>
      <c r="H82" s="3">
        <v>1994.8</v>
      </c>
      <c r="I82" s="3">
        <v>1946.6</v>
      </c>
      <c r="J82" s="3">
        <v>1961.1</v>
      </c>
      <c r="K82" s="3">
        <v>1970</v>
      </c>
      <c r="L82" s="3">
        <v>1978</v>
      </c>
      <c r="M82" s="3">
        <v>1967.81</v>
      </c>
      <c r="N82" s="3">
        <v>2695</v>
      </c>
      <c r="O82" s="3">
        <v>1848</v>
      </c>
      <c r="P82" s="3">
        <v>1465828</v>
      </c>
      <c r="Q82" s="3">
        <v>60264</v>
      </c>
    </row>
    <row r="83" spans="1:17" x14ac:dyDescent="0.3">
      <c r="A83" s="1">
        <v>46094</v>
      </c>
      <c r="B83" s="1" t="str">
        <f t="shared" si="4"/>
        <v>Friday</v>
      </c>
      <c r="C83" s="1" t="str">
        <f t="shared" si="5"/>
        <v>Q1</v>
      </c>
      <c r="D83" s="1" t="str">
        <f t="shared" si="6"/>
        <v>Mar</v>
      </c>
      <c r="E83" s="1" t="str">
        <f t="shared" si="7"/>
        <v>2026</v>
      </c>
      <c r="F83" t="s">
        <v>13</v>
      </c>
      <c r="G83" s="3">
        <v>1999.9</v>
      </c>
      <c r="H83" s="3">
        <v>2008.6</v>
      </c>
      <c r="I83" s="3">
        <v>1945</v>
      </c>
      <c r="J83" s="3">
        <v>2002</v>
      </c>
      <c r="K83" s="3">
        <v>1960</v>
      </c>
      <c r="L83" s="3">
        <v>1961.1</v>
      </c>
      <c r="M83" s="3">
        <v>1972.15</v>
      </c>
      <c r="N83" s="3">
        <v>2695</v>
      </c>
      <c r="O83" s="3">
        <v>1848</v>
      </c>
      <c r="P83" s="3">
        <v>1195448</v>
      </c>
      <c r="Q83" s="3">
        <v>56989</v>
      </c>
    </row>
    <row r="84" spans="1:17" x14ac:dyDescent="0.3">
      <c r="A84" s="1">
        <v>46093</v>
      </c>
      <c r="B84" s="1" t="str">
        <f t="shared" si="4"/>
        <v>Thursday</v>
      </c>
      <c r="C84" s="1" t="str">
        <f t="shared" si="5"/>
        <v>Q1</v>
      </c>
      <c r="D84" s="1" t="str">
        <f t="shared" si="6"/>
        <v>Mar</v>
      </c>
      <c r="E84" s="1" t="str">
        <f t="shared" si="7"/>
        <v>2026</v>
      </c>
      <c r="F84" t="s">
        <v>13</v>
      </c>
      <c r="G84" s="3">
        <v>1960</v>
      </c>
      <c r="H84" s="3">
        <v>2026</v>
      </c>
      <c r="I84" s="3">
        <v>1947.1</v>
      </c>
      <c r="J84" s="3">
        <v>1974.7</v>
      </c>
      <c r="K84" s="3">
        <v>2000.3</v>
      </c>
      <c r="L84" s="3">
        <v>2002</v>
      </c>
      <c r="M84" s="3">
        <v>1996.59</v>
      </c>
      <c r="N84" s="3">
        <v>2695</v>
      </c>
      <c r="O84" s="3">
        <v>1848</v>
      </c>
      <c r="P84" s="3">
        <v>1473773</v>
      </c>
      <c r="Q84" s="3">
        <v>72297</v>
      </c>
    </row>
    <row r="85" spans="1:17" x14ac:dyDescent="0.3">
      <c r="A85" s="1">
        <v>46092</v>
      </c>
      <c r="B85" s="1" t="str">
        <f t="shared" si="4"/>
        <v>Wednesday</v>
      </c>
      <c r="C85" s="1" t="str">
        <f t="shared" si="5"/>
        <v>Q1</v>
      </c>
      <c r="D85" s="1" t="str">
        <f t="shared" si="6"/>
        <v>Mar</v>
      </c>
      <c r="E85" s="1" t="str">
        <f t="shared" si="7"/>
        <v>2026</v>
      </c>
      <c r="F85" t="s">
        <v>13</v>
      </c>
      <c r="G85" s="3">
        <v>2006.6</v>
      </c>
      <c r="H85" s="3">
        <v>2027.4</v>
      </c>
      <c r="I85" s="3">
        <v>1970</v>
      </c>
      <c r="J85" s="3">
        <v>1996.5</v>
      </c>
      <c r="K85" s="3">
        <v>1975</v>
      </c>
      <c r="L85" s="3">
        <v>1974.7</v>
      </c>
      <c r="M85" s="3">
        <v>1994.25</v>
      </c>
      <c r="N85" s="3">
        <v>2695</v>
      </c>
      <c r="O85" s="3">
        <v>1848</v>
      </c>
      <c r="P85" s="3">
        <v>1088294</v>
      </c>
      <c r="Q85" s="3">
        <v>51008</v>
      </c>
    </row>
    <row r="86" spans="1:17" x14ac:dyDescent="0.3">
      <c r="A86" s="1">
        <v>46091</v>
      </c>
      <c r="B86" s="1" t="str">
        <f t="shared" si="4"/>
        <v>Tuesday</v>
      </c>
      <c r="C86" s="1" t="str">
        <f t="shared" si="5"/>
        <v>Q1</v>
      </c>
      <c r="D86" s="1" t="str">
        <f t="shared" si="6"/>
        <v>Mar</v>
      </c>
      <c r="E86" s="1" t="str">
        <f t="shared" si="7"/>
        <v>2026</v>
      </c>
      <c r="F86" t="s">
        <v>13</v>
      </c>
      <c r="G86" s="3">
        <v>2030</v>
      </c>
      <c r="H86" s="3">
        <v>2030</v>
      </c>
      <c r="I86" s="3">
        <v>1982.2</v>
      </c>
      <c r="J86" s="3">
        <v>1999.2</v>
      </c>
      <c r="K86" s="3">
        <v>2002</v>
      </c>
      <c r="L86" s="3">
        <v>1996.5</v>
      </c>
      <c r="M86" s="3">
        <v>1996.85</v>
      </c>
      <c r="N86" s="3">
        <v>2695</v>
      </c>
      <c r="O86" s="3">
        <v>1848</v>
      </c>
      <c r="P86" s="3">
        <v>1680405</v>
      </c>
      <c r="Q86" s="3">
        <v>71660</v>
      </c>
    </row>
    <row r="87" spans="1:17" x14ac:dyDescent="0.3">
      <c r="A87" s="1">
        <v>46090</v>
      </c>
      <c r="B87" s="1" t="str">
        <f t="shared" si="4"/>
        <v>Monday</v>
      </c>
      <c r="C87" s="1" t="str">
        <f t="shared" si="5"/>
        <v>Q1</v>
      </c>
      <c r="D87" s="1" t="str">
        <f t="shared" si="6"/>
        <v>Mar</v>
      </c>
      <c r="E87" s="1" t="str">
        <f t="shared" si="7"/>
        <v>2026</v>
      </c>
      <c r="F87" t="s">
        <v>13</v>
      </c>
      <c r="G87" s="3">
        <v>1985</v>
      </c>
      <c r="H87" s="3">
        <v>2006</v>
      </c>
      <c r="I87" s="3">
        <v>1940.4</v>
      </c>
      <c r="J87" s="3">
        <v>2039.9</v>
      </c>
      <c r="K87" s="3">
        <v>2002</v>
      </c>
      <c r="L87" s="3">
        <v>1999.2</v>
      </c>
      <c r="M87" s="3">
        <v>1972.91</v>
      </c>
      <c r="N87" s="3">
        <v>2695</v>
      </c>
      <c r="O87" s="3">
        <v>1848</v>
      </c>
      <c r="P87" s="3">
        <v>1305447</v>
      </c>
      <c r="Q87" s="3">
        <v>63923</v>
      </c>
    </row>
    <row r="88" spans="1:17" x14ac:dyDescent="0.3">
      <c r="A88" s="1">
        <v>46087</v>
      </c>
      <c r="B88" s="1" t="str">
        <f t="shared" si="4"/>
        <v>Friday</v>
      </c>
      <c r="C88" s="1" t="str">
        <f t="shared" si="5"/>
        <v>Q1</v>
      </c>
      <c r="D88" s="1" t="str">
        <f t="shared" si="6"/>
        <v>Mar</v>
      </c>
      <c r="E88" s="1" t="str">
        <f t="shared" si="7"/>
        <v>2026</v>
      </c>
      <c r="F88" t="s">
        <v>13</v>
      </c>
      <c r="G88" s="3">
        <v>2079.1</v>
      </c>
      <c r="H88" s="3">
        <v>2090</v>
      </c>
      <c r="I88" s="3">
        <v>2030.2</v>
      </c>
      <c r="J88" s="3">
        <v>2089.1999999999998</v>
      </c>
      <c r="K88" s="3">
        <v>2042.6</v>
      </c>
      <c r="L88" s="3">
        <v>2039.9</v>
      </c>
      <c r="M88" s="3">
        <v>2059.54</v>
      </c>
      <c r="N88" s="3">
        <v>2695</v>
      </c>
      <c r="O88" s="3">
        <v>1848</v>
      </c>
      <c r="P88" s="3">
        <v>1696027</v>
      </c>
      <c r="Q88" s="3">
        <v>59225</v>
      </c>
    </row>
    <row r="89" spans="1:17" x14ac:dyDescent="0.3">
      <c r="A89" s="1">
        <v>46086</v>
      </c>
      <c r="B89" s="1" t="str">
        <f t="shared" si="4"/>
        <v>Thursday</v>
      </c>
      <c r="C89" s="1" t="str">
        <f t="shared" si="5"/>
        <v>Q1</v>
      </c>
      <c r="D89" s="1" t="str">
        <f t="shared" si="6"/>
        <v>Mar</v>
      </c>
      <c r="E89" s="1" t="str">
        <f t="shared" si="7"/>
        <v>2026</v>
      </c>
      <c r="F89" t="s">
        <v>13</v>
      </c>
      <c r="G89" s="3">
        <v>2094</v>
      </c>
      <c r="H89" s="3">
        <v>2100</v>
      </c>
      <c r="I89" s="3">
        <v>2040</v>
      </c>
      <c r="J89" s="3">
        <v>2076.5</v>
      </c>
      <c r="K89" s="3">
        <v>2085</v>
      </c>
      <c r="L89" s="3">
        <v>2089.1999999999998</v>
      </c>
      <c r="M89" s="3">
        <v>2065.98</v>
      </c>
      <c r="N89" s="3">
        <v>2695</v>
      </c>
      <c r="O89" s="3">
        <v>1848</v>
      </c>
      <c r="P89" s="3">
        <v>1231524</v>
      </c>
      <c r="Q89" s="3">
        <v>66201</v>
      </c>
    </row>
    <row r="90" spans="1:17" x14ac:dyDescent="0.3">
      <c r="A90" s="1">
        <v>46085</v>
      </c>
      <c r="B90" s="1" t="str">
        <f t="shared" si="4"/>
        <v>Wednesday</v>
      </c>
      <c r="C90" s="1" t="str">
        <f t="shared" si="5"/>
        <v>Q1</v>
      </c>
      <c r="D90" s="1" t="str">
        <f t="shared" si="6"/>
        <v>Mar</v>
      </c>
      <c r="E90" s="1" t="str">
        <f t="shared" si="7"/>
        <v>2026</v>
      </c>
      <c r="F90" t="s">
        <v>13</v>
      </c>
      <c r="G90" s="3">
        <v>2104.6</v>
      </c>
      <c r="H90" s="3">
        <v>2104.6</v>
      </c>
      <c r="I90" s="3">
        <v>2037.5</v>
      </c>
      <c r="J90" s="3">
        <v>2124.6</v>
      </c>
      <c r="K90" s="3">
        <v>2070</v>
      </c>
      <c r="L90" s="3">
        <v>2076.5</v>
      </c>
      <c r="M90" s="3">
        <v>2064.2800000000002</v>
      </c>
      <c r="N90" s="3">
        <v>2695</v>
      </c>
      <c r="O90" s="3">
        <v>1848</v>
      </c>
      <c r="P90" s="3">
        <v>1585848</v>
      </c>
      <c r="Q90" s="3">
        <v>86583</v>
      </c>
    </row>
    <row r="91" spans="1:17" x14ac:dyDescent="0.3">
      <c r="A91" s="1">
        <v>46083</v>
      </c>
      <c r="B91" s="1" t="str">
        <f t="shared" si="4"/>
        <v>Monday</v>
      </c>
      <c r="C91" s="1" t="str">
        <f t="shared" si="5"/>
        <v>Q1</v>
      </c>
      <c r="D91" s="1" t="str">
        <f t="shared" si="6"/>
        <v>Mar</v>
      </c>
      <c r="E91" s="1" t="str">
        <f t="shared" si="7"/>
        <v>2026</v>
      </c>
      <c r="F91" t="s">
        <v>13</v>
      </c>
      <c r="G91" s="3">
        <v>2093</v>
      </c>
      <c r="H91" s="3">
        <v>2147.9</v>
      </c>
      <c r="I91" s="3">
        <v>2073.6999999999998</v>
      </c>
      <c r="J91" s="3">
        <v>2161.8000000000002</v>
      </c>
      <c r="K91" s="3">
        <v>2124</v>
      </c>
      <c r="L91" s="3">
        <v>2124.6</v>
      </c>
      <c r="M91" s="3">
        <v>2102.42</v>
      </c>
      <c r="N91" s="3">
        <v>2695</v>
      </c>
      <c r="O91" s="3">
        <v>1848</v>
      </c>
      <c r="P91" s="3">
        <v>2134522</v>
      </c>
      <c r="Q91" s="3">
        <v>98499</v>
      </c>
    </row>
    <row r="92" spans="1:17" x14ac:dyDescent="0.3">
      <c r="A92" s="1">
        <v>46080</v>
      </c>
      <c r="B92" s="1" t="str">
        <f t="shared" si="4"/>
        <v>Friday</v>
      </c>
      <c r="C92" s="1" t="str">
        <f t="shared" si="5"/>
        <v>Q1</v>
      </c>
      <c r="D92" s="1" t="str">
        <f t="shared" si="6"/>
        <v>Feb</v>
      </c>
      <c r="E92" s="1" t="str">
        <f t="shared" si="7"/>
        <v>2026</v>
      </c>
      <c r="F92" t="s">
        <v>13</v>
      </c>
      <c r="G92" s="3">
        <v>2210</v>
      </c>
      <c r="H92" s="3">
        <v>2216.4</v>
      </c>
      <c r="I92" s="3">
        <v>2153</v>
      </c>
      <c r="J92" s="3">
        <v>2216.4</v>
      </c>
      <c r="K92" s="3">
        <v>2157</v>
      </c>
      <c r="L92" s="3">
        <v>2161.8000000000002</v>
      </c>
      <c r="M92" s="3">
        <v>2172.7600000000002</v>
      </c>
      <c r="N92" s="3">
        <v>2695</v>
      </c>
      <c r="O92" s="3">
        <v>1848</v>
      </c>
      <c r="P92" s="3">
        <v>1433096</v>
      </c>
      <c r="Q92" s="3">
        <v>39471</v>
      </c>
    </row>
    <row r="93" spans="1:17" x14ac:dyDescent="0.3">
      <c r="A93" s="1">
        <v>46079</v>
      </c>
      <c r="B93" s="1" t="str">
        <f t="shared" si="4"/>
        <v>Thursday</v>
      </c>
      <c r="C93" s="1" t="str">
        <f t="shared" si="5"/>
        <v>Q1</v>
      </c>
      <c r="D93" s="1" t="str">
        <f t="shared" si="6"/>
        <v>Feb</v>
      </c>
      <c r="E93" s="1" t="str">
        <f t="shared" si="7"/>
        <v>2026</v>
      </c>
      <c r="F93" t="s">
        <v>13</v>
      </c>
      <c r="G93" s="3">
        <v>2230</v>
      </c>
      <c r="H93" s="3">
        <v>2232.4</v>
      </c>
      <c r="I93" s="3">
        <v>2200.1</v>
      </c>
      <c r="J93" s="3">
        <v>2231.6999999999998</v>
      </c>
      <c r="K93" s="3">
        <v>2215.4</v>
      </c>
      <c r="L93" s="3">
        <v>2216.4</v>
      </c>
      <c r="M93" s="3">
        <v>2214.12</v>
      </c>
      <c r="N93" s="3">
        <v>2695</v>
      </c>
      <c r="O93" s="3">
        <v>1848</v>
      </c>
      <c r="P93" s="3">
        <v>915342</v>
      </c>
      <c r="Q93" s="3">
        <v>48638</v>
      </c>
    </row>
    <row r="94" spans="1:17" x14ac:dyDescent="0.3">
      <c r="A94" s="1">
        <v>46078</v>
      </c>
      <c r="B94" s="1" t="str">
        <f t="shared" si="4"/>
        <v>Wednesday</v>
      </c>
      <c r="C94" s="1" t="str">
        <f t="shared" si="5"/>
        <v>Q1</v>
      </c>
      <c r="D94" s="1" t="str">
        <f t="shared" si="6"/>
        <v>Feb</v>
      </c>
      <c r="E94" s="1" t="str">
        <f t="shared" si="7"/>
        <v>2026</v>
      </c>
      <c r="F94" t="s">
        <v>13</v>
      </c>
      <c r="G94" s="3">
        <v>2193.1999999999998</v>
      </c>
      <c r="H94" s="3">
        <v>2237.3000000000002</v>
      </c>
      <c r="I94" s="3">
        <v>2180.1</v>
      </c>
      <c r="J94" s="3">
        <v>2183</v>
      </c>
      <c r="K94" s="3">
        <v>2225</v>
      </c>
      <c r="L94" s="3">
        <v>2231.6999999999998</v>
      </c>
      <c r="M94" s="3">
        <v>2210.0100000000002</v>
      </c>
      <c r="N94" s="3">
        <v>2695</v>
      </c>
      <c r="O94" s="3">
        <v>1848</v>
      </c>
      <c r="P94" s="3">
        <v>1474187</v>
      </c>
      <c r="Q94" s="3">
        <v>63011</v>
      </c>
    </row>
    <row r="95" spans="1:17" x14ac:dyDescent="0.3">
      <c r="A95" s="1">
        <v>46077</v>
      </c>
      <c r="B95" s="1" t="str">
        <f t="shared" si="4"/>
        <v>Tuesday</v>
      </c>
      <c r="C95" s="1" t="str">
        <f t="shared" si="5"/>
        <v>Q1</v>
      </c>
      <c r="D95" s="1" t="str">
        <f t="shared" si="6"/>
        <v>Feb</v>
      </c>
      <c r="E95" s="1" t="str">
        <f t="shared" si="7"/>
        <v>2026</v>
      </c>
      <c r="F95" t="s">
        <v>13</v>
      </c>
      <c r="G95" s="3">
        <v>2168.6</v>
      </c>
      <c r="H95" s="3">
        <v>2204.6999999999998</v>
      </c>
      <c r="I95" s="3">
        <v>2162.1999999999998</v>
      </c>
      <c r="J95" s="3">
        <v>2191</v>
      </c>
      <c r="K95" s="3">
        <v>2184</v>
      </c>
      <c r="L95" s="3">
        <v>2183</v>
      </c>
      <c r="M95" s="3">
        <v>2182.09</v>
      </c>
      <c r="N95" s="3">
        <v>2695</v>
      </c>
      <c r="O95" s="3">
        <v>1848</v>
      </c>
      <c r="P95" s="3">
        <v>1152423</v>
      </c>
      <c r="Q95" s="3">
        <v>45878</v>
      </c>
    </row>
    <row r="96" spans="1:17" x14ac:dyDescent="0.3">
      <c r="A96" s="1">
        <v>46076</v>
      </c>
      <c r="B96" s="1" t="str">
        <f t="shared" si="4"/>
        <v>Monday</v>
      </c>
      <c r="C96" s="1" t="str">
        <f t="shared" si="5"/>
        <v>Q1</v>
      </c>
      <c r="D96" s="1" t="str">
        <f t="shared" si="6"/>
        <v>Feb</v>
      </c>
      <c r="E96" s="1" t="str">
        <f t="shared" si="7"/>
        <v>2026</v>
      </c>
      <c r="F96" t="s">
        <v>13</v>
      </c>
      <c r="G96" s="3">
        <v>2180</v>
      </c>
      <c r="H96" s="3">
        <v>2203</v>
      </c>
      <c r="I96" s="3">
        <v>2155.3000000000002</v>
      </c>
      <c r="J96" s="3">
        <v>2160.8000000000002</v>
      </c>
      <c r="K96" s="3">
        <v>2186.6999999999998</v>
      </c>
      <c r="L96" s="3">
        <v>2191</v>
      </c>
      <c r="M96" s="3">
        <v>2185.3000000000002</v>
      </c>
      <c r="N96" s="3">
        <v>2695</v>
      </c>
      <c r="O96" s="3">
        <v>1848</v>
      </c>
      <c r="P96" s="3">
        <v>1103960</v>
      </c>
      <c r="Q96" s="3">
        <v>41831</v>
      </c>
    </row>
    <row r="97" spans="1:17" x14ac:dyDescent="0.3">
      <c r="A97" s="1">
        <v>46073</v>
      </c>
      <c r="B97" s="1" t="str">
        <f t="shared" si="4"/>
        <v>Friday</v>
      </c>
      <c r="C97" s="1" t="str">
        <f t="shared" si="5"/>
        <v>Q1</v>
      </c>
      <c r="D97" s="1" t="str">
        <f t="shared" si="6"/>
        <v>Feb</v>
      </c>
      <c r="E97" s="1" t="str">
        <f t="shared" si="7"/>
        <v>2026</v>
      </c>
      <c r="F97" t="s">
        <v>13</v>
      </c>
      <c r="G97" s="3">
        <v>2160</v>
      </c>
      <c r="H97" s="3">
        <v>2174.4</v>
      </c>
      <c r="I97" s="3">
        <v>2152.1</v>
      </c>
      <c r="J97" s="3">
        <v>2156.6999999999998</v>
      </c>
      <c r="K97" s="3">
        <v>2160.3000000000002</v>
      </c>
      <c r="L97" s="3">
        <v>2160.8000000000002</v>
      </c>
      <c r="M97" s="3">
        <v>2162.37</v>
      </c>
      <c r="N97" s="3">
        <v>2695</v>
      </c>
      <c r="O97" s="3">
        <v>1848</v>
      </c>
      <c r="P97" s="3">
        <v>738454</v>
      </c>
      <c r="Q97" s="3">
        <v>27557</v>
      </c>
    </row>
    <row r="98" spans="1:17" x14ac:dyDescent="0.3">
      <c r="A98" s="1">
        <v>46072</v>
      </c>
      <c r="B98" s="1" t="str">
        <f t="shared" si="4"/>
        <v>Thursday</v>
      </c>
      <c r="C98" s="1" t="str">
        <f t="shared" si="5"/>
        <v>Q1</v>
      </c>
      <c r="D98" s="1" t="str">
        <f t="shared" si="6"/>
        <v>Feb</v>
      </c>
      <c r="E98" s="1" t="str">
        <f t="shared" si="7"/>
        <v>2026</v>
      </c>
      <c r="F98" t="s">
        <v>13</v>
      </c>
      <c r="G98" s="3">
        <v>2218.9</v>
      </c>
      <c r="H98" s="3">
        <v>2218.9</v>
      </c>
      <c r="I98" s="3">
        <v>2151</v>
      </c>
      <c r="J98" s="3">
        <v>2211.1999999999998</v>
      </c>
      <c r="K98" s="3">
        <v>2159</v>
      </c>
      <c r="L98" s="3">
        <v>2156.6999999999998</v>
      </c>
      <c r="M98" s="3">
        <v>2175.25</v>
      </c>
      <c r="N98" s="3">
        <v>2695</v>
      </c>
      <c r="O98" s="3">
        <v>1848</v>
      </c>
      <c r="P98" s="3">
        <v>1101633</v>
      </c>
      <c r="Q98" s="3">
        <v>51782</v>
      </c>
    </row>
    <row r="99" spans="1:17" x14ac:dyDescent="0.3">
      <c r="A99" s="1">
        <v>46071</v>
      </c>
      <c r="B99" s="1" t="str">
        <f t="shared" si="4"/>
        <v>Wednesday</v>
      </c>
      <c r="C99" s="1" t="str">
        <f t="shared" si="5"/>
        <v>Q1</v>
      </c>
      <c r="D99" s="1" t="str">
        <f t="shared" si="6"/>
        <v>Feb</v>
      </c>
      <c r="E99" s="1" t="str">
        <f t="shared" si="7"/>
        <v>2026</v>
      </c>
      <c r="F99" t="s">
        <v>13</v>
      </c>
      <c r="G99" s="3">
        <v>2254</v>
      </c>
      <c r="H99" s="3">
        <v>2254</v>
      </c>
      <c r="I99" s="3">
        <v>2188.1</v>
      </c>
      <c r="J99" s="3">
        <v>2242.9</v>
      </c>
      <c r="K99" s="3">
        <v>2213</v>
      </c>
      <c r="L99" s="3">
        <v>2211.1999999999998</v>
      </c>
      <c r="M99" s="3">
        <v>2210.56</v>
      </c>
      <c r="N99" s="3">
        <v>2695</v>
      </c>
      <c r="O99" s="3">
        <v>1848</v>
      </c>
      <c r="P99" s="3">
        <v>1149398</v>
      </c>
      <c r="Q99" s="3">
        <v>48505</v>
      </c>
    </row>
    <row r="100" spans="1:17" x14ac:dyDescent="0.3">
      <c r="A100" s="1">
        <v>46070</v>
      </c>
      <c r="B100" s="1" t="str">
        <f t="shared" si="4"/>
        <v>Tuesday</v>
      </c>
      <c r="C100" s="1" t="str">
        <f t="shared" si="5"/>
        <v>Q1</v>
      </c>
      <c r="D100" s="1" t="str">
        <f t="shared" si="6"/>
        <v>Feb</v>
      </c>
      <c r="E100" s="1" t="str">
        <f t="shared" si="7"/>
        <v>2026</v>
      </c>
      <c r="F100" t="s">
        <v>13</v>
      </c>
      <c r="G100" s="3">
        <v>2170</v>
      </c>
      <c r="H100" s="3">
        <v>2252</v>
      </c>
      <c r="I100" s="3">
        <v>2170</v>
      </c>
      <c r="J100" s="3">
        <v>2184.6</v>
      </c>
      <c r="K100" s="3">
        <v>2244.4</v>
      </c>
      <c r="L100" s="3">
        <v>2242.9</v>
      </c>
      <c r="M100" s="3">
        <v>2218.44</v>
      </c>
      <c r="N100" s="3">
        <v>2695</v>
      </c>
      <c r="O100" s="3">
        <v>1848</v>
      </c>
      <c r="P100" s="3">
        <v>1931699</v>
      </c>
      <c r="Q100" s="3">
        <v>62075</v>
      </c>
    </row>
    <row r="101" spans="1:17" x14ac:dyDescent="0.3">
      <c r="A101" s="1">
        <v>46069</v>
      </c>
      <c r="B101" s="1" t="str">
        <f t="shared" si="4"/>
        <v>Monday</v>
      </c>
      <c r="C101" s="1" t="str">
        <f t="shared" si="5"/>
        <v>Q1</v>
      </c>
      <c r="D101" s="1" t="str">
        <f t="shared" si="6"/>
        <v>Feb</v>
      </c>
      <c r="E101" s="1" t="str">
        <f t="shared" si="7"/>
        <v>2026</v>
      </c>
      <c r="F101" t="s">
        <v>13</v>
      </c>
      <c r="G101" s="3">
        <v>2124.1999999999998</v>
      </c>
      <c r="H101" s="3">
        <v>2190.9</v>
      </c>
      <c r="I101" s="3">
        <v>2103.1999999999998</v>
      </c>
      <c r="J101" s="3">
        <v>2136.6</v>
      </c>
      <c r="K101" s="3">
        <v>2181.3000000000002</v>
      </c>
      <c r="L101" s="3">
        <v>2184.6</v>
      </c>
      <c r="M101" s="3">
        <v>2159.21</v>
      </c>
      <c r="N101" s="3">
        <v>2695</v>
      </c>
      <c r="O101" s="3">
        <v>1848</v>
      </c>
      <c r="P101" s="3">
        <v>1824808</v>
      </c>
      <c r="Q101" s="3">
        <v>69844</v>
      </c>
    </row>
    <row r="102" spans="1:17" x14ac:dyDescent="0.3">
      <c r="A102" s="1">
        <v>46066</v>
      </c>
      <c r="B102" s="1" t="str">
        <f t="shared" si="4"/>
        <v>Friday</v>
      </c>
      <c r="C102" s="1" t="str">
        <f t="shared" si="5"/>
        <v>Q1</v>
      </c>
      <c r="D102" s="1" t="str">
        <f t="shared" si="6"/>
        <v>Feb</v>
      </c>
      <c r="E102" s="1" t="str">
        <f t="shared" si="7"/>
        <v>2026</v>
      </c>
      <c r="F102" t="s">
        <v>13</v>
      </c>
      <c r="G102" s="3">
        <v>2210</v>
      </c>
      <c r="H102" s="3">
        <v>2210</v>
      </c>
      <c r="I102" s="3">
        <v>2124.1999999999998</v>
      </c>
      <c r="J102" s="3">
        <v>2211.8000000000002</v>
      </c>
      <c r="K102" s="3">
        <v>2127</v>
      </c>
      <c r="L102" s="3">
        <v>2136.6</v>
      </c>
      <c r="M102" s="3">
        <v>2153.02</v>
      </c>
      <c r="N102" s="3">
        <v>2695</v>
      </c>
      <c r="O102" s="3">
        <v>1848</v>
      </c>
      <c r="P102" s="3">
        <v>1489548</v>
      </c>
      <c r="Q102" s="3">
        <v>57301</v>
      </c>
    </row>
    <row r="103" spans="1:17" x14ac:dyDescent="0.3">
      <c r="A103" s="1">
        <v>46065</v>
      </c>
      <c r="B103" s="1" t="str">
        <f t="shared" si="4"/>
        <v>Thursday</v>
      </c>
      <c r="C103" s="1" t="str">
        <f t="shared" si="5"/>
        <v>Q1</v>
      </c>
      <c r="D103" s="1" t="str">
        <f t="shared" si="6"/>
        <v>Feb</v>
      </c>
      <c r="E103" s="1" t="str">
        <f t="shared" si="7"/>
        <v>2026</v>
      </c>
      <c r="F103" t="s">
        <v>13</v>
      </c>
      <c r="G103" s="3">
        <v>2229</v>
      </c>
      <c r="H103" s="3">
        <v>2229.5</v>
      </c>
      <c r="I103" s="3">
        <v>2201</v>
      </c>
      <c r="J103" s="3">
        <v>2234.4</v>
      </c>
      <c r="K103" s="3">
        <v>2209</v>
      </c>
      <c r="L103" s="3">
        <v>2211.8000000000002</v>
      </c>
      <c r="M103" s="3">
        <v>2210.84</v>
      </c>
      <c r="N103" s="3">
        <v>2695</v>
      </c>
      <c r="O103" s="3">
        <v>1848</v>
      </c>
      <c r="P103" s="3">
        <v>649585</v>
      </c>
      <c r="Q103" s="3">
        <v>33140</v>
      </c>
    </row>
    <row r="104" spans="1:17" x14ac:dyDescent="0.3">
      <c r="A104" s="1">
        <v>46064</v>
      </c>
      <c r="B104" s="1" t="str">
        <f t="shared" si="4"/>
        <v>Wednesday</v>
      </c>
      <c r="C104" s="1" t="str">
        <f t="shared" si="5"/>
        <v>Q1</v>
      </c>
      <c r="D104" s="1" t="str">
        <f t="shared" si="6"/>
        <v>Feb</v>
      </c>
      <c r="E104" s="1" t="str">
        <f t="shared" si="7"/>
        <v>2026</v>
      </c>
      <c r="F104" t="s">
        <v>13</v>
      </c>
      <c r="G104" s="3">
        <v>2232.9</v>
      </c>
      <c r="H104" s="3">
        <v>2237.6999999999998</v>
      </c>
      <c r="I104" s="3">
        <v>2215.1</v>
      </c>
      <c r="J104" s="3">
        <v>2228.4</v>
      </c>
      <c r="K104" s="3">
        <v>2230</v>
      </c>
      <c r="L104" s="3">
        <v>2234.4</v>
      </c>
      <c r="M104" s="3">
        <v>2229.5700000000002</v>
      </c>
      <c r="N104" s="3">
        <v>2695</v>
      </c>
      <c r="O104" s="3">
        <v>1848</v>
      </c>
      <c r="P104" s="3">
        <v>682320</v>
      </c>
      <c r="Q104" s="3">
        <v>30700</v>
      </c>
    </row>
    <row r="105" spans="1:17" x14ac:dyDescent="0.3">
      <c r="A105" s="1">
        <v>46063</v>
      </c>
      <c r="B105" s="1" t="str">
        <f t="shared" si="4"/>
        <v>Tuesday</v>
      </c>
      <c r="C105" s="1" t="str">
        <f t="shared" si="5"/>
        <v>Q1</v>
      </c>
      <c r="D105" s="1" t="str">
        <f t="shared" si="6"/>
        <v>Feb</v>
      </c>
      <c r="E105" s="1" t="str">
        <f t="shared" si="7"/>
        <v>2026</v>
      </c>
      <c r="F105" t="s">
        <v>13</v>
      </c>
      <c r="G105" s="3">
        <v>2259</v>
      </c>
      <c r="H105" s="3">
        <v>2268.3000000000002</v>
      </c>
      <c r="I105" s="3">
        <v>2171</v>
      </c>
      <c r="J105" s="3">
        <v>2250.1</v>
      </c>
      <c r="K105" s="3">
        <v>2227.3000000000002</v>
      </c>
      <c r="L105" s="3">
        <v>2228.4</v>
      </c>
      <c r="M105" s="3">
        <v>2225.16</v>
      </c>
      <c r="N105" s="3">
        <v>2695</v>
      </c>
      <c r="O105" s="3">
        <v>1848</v>
      </c>
      <c r="P105" s="3">
        <v>1670672</v>
      </c>
      <c r="Q105" s="3">
        <v>72035</v>
      </c>
    </row>
    <row r="106" spans="1:17" x14ac:dyDescent="0.3">
      <c r="A106" s="1">
        <v>46062</v>
      </c>
      <c r="B106" s="1" t="str">
        <f t="shared" si="4"/>
        <v>Monday</v>
      </c>
      <c r="C106" s="1" t="str">
        <f t="shared" si="5"/>
        <v>Q1</v>
      </c>
      <c r="D106" s="1" t="str">
        <f t="shared" si="6"/>
        <v>Feb</v>
      </c>
      <c r="E106" s="1" t="str">
        <f t="shared" si="7"/>
        <v>2026</v>
      </c>
      <c r="F106" t="s">
        <v>13</v>
      </c>
      <c r="G106" s="3">
        <v>2250</v>
      </c>
      <c r="H106" s="3">
        <v>2288</v>
      </c>
      <c r="I106" s="3">
        <v>2240</v>
      </c>
      <c r="J106" s="3">
        <v>2226.4</v>
      </c>
      <c r="K106" s="3">
        <v>2250.4</v>
      </c>
      <c r="L106" s="3">
        <v>2250.1</v>
      </c>
      <c r="M106" s="3">
        <v>2261.5</v>
      </c>
      <c r="N106" s="3">
        <v>2695</v>
      </c>
      <c r="O106" s="3">
        <v>1848</v>
      </c>
      <c r="P106" s="3">
        <v>1650899</v>
      </c>
      <c r="Q106" s="3">
        <v>50286</v>
      </c>
    </row>
    <row r="107" spans="1:17" x14ac:dyDescent="0.3">
      <c r="A107" s="1">
        <v>46059</v>
      </c>
      <c r="B107" s="1" t="str">
        <f t="shared" si="4"/>
        <v>Friday</v>
      </c>
      <c r="C107" s="1" t="str">
        <f t="shared" si="5"/>
        <v>Q1</v>
      </c>
      <c r="D107" s="1" t="str">
        <f t="shared" si="6"/>
        <v>Feb</v>
      </c>
      <c r="E107" s="1" t="str">
        <f t="shared" si="7"/>
        <v>2026</v>
      </c>
      <c r="F107" t="s">
        <v>13</v>
      </c>
      <c r="G107" s="3">
        <v>2226.1</v>
      </c>
      <c r="H107" s="3">
        <v>2238</v>
      </c>
      <c r="I107" s="3">
        <v>2200.4</v>
      </c>
      <c r="J107" s="3">
        <v>2236.6</v>
      </c>
      <c r="K107" s="3">
        <v>2219</v>
      </c>
      <c r="L107" s="3">
        <v>2226.4</v>
      </c>
      <c r="M107" s="3">
        <v>2221.02</v>
      </c>
      <c r="N107" s="3">
        <v>2695</v>
      </c>
      <c r="O107" s="3">
        <v>1848</v>
      </c>
      <c r="P107" s="3">
        <v>933650</v>
      </c>
      <c r="Q107" s="3">
        <v>37449</v>
      </c>
    </row>
    <row r="108" spans="1:17" x14ac:dyDescent="0.3">
      <c r="A108" s="1">
        <v>46058</v>
      </c>
      <c r="B108" s="1" t="str">
        <f t="shared" si="4"/>
        <v>Thursday</v>
      </c>
      <c r="C108" s="1" t="str">
        <f t="shared" si="5"/>
        <v>Q1</v>
      </c>
      <c r="D108" s="1" t="str">
        <f t="shared" si="6"/>
        <v>Feb</v>
      </c>
      <c r="E108" s="1" t="str">
        <f t="shared" si="7"/>
        <v>2026</v>
      </c>
      <c r="F108" t="s">
        <v>13</v>
      </c>
      <c r="G108" s="3">
        <v>2232</v>
      </c>
      <c r="H108" s="3">
        <v>2243.6999999999998</v>
      </c>
      <c r="I108" s="3">
        <v>2210</v>
      </c>
      <c r="J108" s="3">
        <v>2228.1999999999998</v>
      </c>
      <c r="K108" s="3">
        <v>2232.6</v>
      </c>
      <c r="L108" s="3">
        <v>2236.6</v>
      </c>
      <c r="M108" s="3">
        <v>2224.9499999999998</v>
      </c>
      <c r="N108" s="3">
        <v>2695</v>
      </c>
      <c r="O108" s="3">
        <v>1848</v>
      </c>
      <c r="P108" s="3">
        <v>992382</v>
      </c>
      <c r="Q108" s="3">
        <v>42025</v>
      </c>
    </row>
    <row r="109" spans="1:17" x14ac:dyDescent="0.3">
      <c r="A109" s="1">
        <v>46057</v>
      </c>
      <c r="B109" s="1" t="str">
        <f t="shared" si="4"/>
        <v>Wednesday</v>
      </c>
      <c r="C109" s="1" t="str">
        <f t="shared" si="5"/>
        <v>Q1</v>
      </c>
      <c r="D109" s="1" t="str">
        <f t="shared" si="6"/>
        <v>Feb</v>
      </c>
      <c r="E109" s="1" t="str">
        <f t="shared" si="7"/>
        <v>2026</v>
      </c>
      <c r="F109" t="s">
        <v>13</v>
      </c>
      <c r="G109" s="3">
        <v>2220</v>
      </c>
      <c r="H109" s="3">
        <v>2246</v>
      </c>
      <c r="I109" s="3">
        <v>2189.1999999999998</v>
      </c>
      <c r="J109" s="3">
        <v>2202.6</v>
      </c>
      <c r="K109" s="3">
        <v>2225</v>
      </c>
      <c r="L109" s="3">
        <v>2228.1999999999998</v>
      </c>
      <c r="M109" s="3">
        <v>2218.87</v>
      </c>
      <c r="N109" s="3">
        <v>2695</v>
      </c>
      <c r="O109" s="3">
        <v>1848</v>
      </c>
      <c r="P109" s="3">
        <v>2051918</v>
      </c>
      <c r="Q109" s="3">
        <v>71644</v>
      </c>
    </row>
    <row r="110" spans="1:17" x14ac:dyDescent="0.3">
      <c r="A110" s="1">
        <v>46056</v>
      </c>
      <c r="B110" s="1" t="str">
        <f t="shared" si="4"/>
        <v>Tuesday</v>
      </c>
      <c r="C110" s="1" t="str">
        <f t="shared" si="5"/>
        <v>Q1</v>
      </c>
      <c r="D110" s="1" t="str">
        <f t="shared" si="6"/>
        <v>Feb</v>
      </c>
      <c r="E110" s="1" t="str">
        <f t="shared" si="7"/>
        <v>2026</v>
      </c>
      <c r="F110" t="s">
        <v>13</v>
      </c>
      <c r="G110" s="3">
        <v>2150</v>
      </c>
      <c r="H110" s="3">
        <v>2233.4</v>
      </c>
      <c r="I110" s="3">
        <v>2131.1</v>
      </c>
      <c r="J110" s="3">
        <v>1995.4</v>
      </c>
      <c r="K110" s="3">
        <v>2206.5</v>
      </c>
      <c r="L110" s="3">
        <v>2202.6</v>
      </c>
      <c r="M110" s="3">
        <v>2201.9699999999998</v>
      </c>
      <c r="N110" s="3">
        <v>2695</v>
      </c>
      <c r="O110" s="3">
        <v>1848</v>
      </c>
      <c r="P110" s="3">
        <v>6918581</v>
      </c>
      <c r="Q110" s="3">
        <v>239268</v>
      </c>
    </row>
    <row r="111" spans="1:17" x14ac:dyDescent="0.3">
      <c r="A111" s="1">
        <v>46055</v>
      </c>
      <c r="B111" s="1" t="str">
        <f t="shared" si="4"/>
        <v>Monday</v>
      </c>
      <c r="C111" s="1" t="str">
        <f t="shared" si="5"/>
        <v>Q1</v>
      </c>
      <c r="D111" s="1" t="str">
        <f t="shared" si="6"/>
        <v>Feb</v>
      </c>
      <c r="E111" s="1" t="str">
        <f t="shared" si="7"/>
        <v>2026</v>
      </c>
      <c r="F111" t="s">
        <v>13</v>
      </c>
      <c r="G111" s="3">
        <v>1956.6</v>
      </c>
      <c r="H111" s="3">
        <v>2002.2</v>
      </c>
      <c r="I111" s="3">
        <v>1934</v>
      </c>
      <c r="J111" s="3">
        <v>1942.8</v>
      </c>
      <c r="K111" s="3">
        <v>1995</v>
      </c>
      <c r="L111" s="3">
        <v>1995.4</v>
      </c>
      <c r="M111" s="3">
        <v>1967.79</v>
      </c>
      <c r="N111" s="3">
        <v>2695</v>
      </c>
      <c r="O111" s="3">
        <v>1848</v>
      </c>
      <c r="P111" s="3">
        <v>1229270</v>
      </c>
      <c r="Q111" s="3">
        <v>61151</v>
      </c>
    </row>
    <row r="112" spans="1:17" x14ac:dyDescent="0.3">
      <c r="A112" s="1">
        <v>46054</v>
      </c>
      <c r="B112" s="1" t="str">
        <f t="shared" si="4"/>
        <v>Sunday</v>
      </c>
      <c r="C112" s="1" t="str">
        <f t="shared" si="5"/>
        <v>Q1</v>
      </c>
      <c r="D112" s="1" t="str">
        <f t="shared" si="6"/>
        <v>Feb</v>
      </c>
      <c r="E112" s="1" t="str">
        <f t="shared" si="7"/>
        <v>2026</v>
      </c>
      <c r="F112" t="s">
        <v>13</v>
      </c>
      <c r="G112" s="3">
        <v>2021</v>
      </c>
      <c r="H112" s="3">
        <v>2039.8</v>
      </c>
      <c r="I112" s="3">
        <v>1931</v>
      </c>
      <c r="J112" s="3">
        <v>2020.4</v>
      </c>
      <c r="K112" s="3">
        <v>1937.8</v>
      </c>
      <c r="L112" s="3">
        <v>1942.8</v>
      </c>
      <c r="M112" s="3">
        <v>1981.17</v>
      </c>
      <c r="N112" s="3">
        <v>2695</v>
      </c>
      <c r="O112" s="3">
        <v>1848</v>
      </c>
      <c r="P112" s="3">
        <v>1802165</v>
      </c>
      <c r="Q112" s="3">
        <v>61214</v>
      </c>
    </row>
    <row r="113" spans="1:17" x14ac:dyDescent="0.3">
      <c r="A113" s="1">
        <v>46052</v>
      </c>
      <c r="B113" s="1" t="str">
        <f t="shared" si="4"/>
        <v>Friday</v>
      </c>
      <c r="C113" s="1" t="str">
        <f t="shared" si="5"/>
        <v>Q1</v>
      </c>
      <c r="D113" s="1" t="str">
        <f t="shared" si="6"/>
        <v>Jan</v>
      </c>
      <c r="E113" s="1" t="str">
        <f t="shared" si="7"/>
        <v>2026</v>
      </c>
      <c r="F113" t="s">
        <v>13</v>
      </c>
      <c r="G113" s="3">
        <v>2005</v>
      </c>
      <c r="H113" s="3">
        <v>2038.8</v>
      </c>
      <c r="I113" s="3">
        <v>1992.2</v>
      </c>
      <c r="J113" s="3">
        <v>2019.2</v>
      </c>
      <c r="K113" s="3">
        <v>2020</v>
      </c>
      <c r="L113" s="3">
        <v>2020.4</v>
      </c>
      <c r="M113" s="3">
        <v>2022.61</v>
      </c>
      <c r="N113" s="3">
        <v>2695</v>
      </c>
      <c r="O113" s="3">
        <v>1848</v>
      </c>
      <c r="P113" s="3">
        <v>1230915</v>
      </c>
      <c r="Q113" s="3">
        <v>52794</v>
      </c>
    </row>
    <row r="114" spans="1:17" x14ac:dyDescent="0.3">
      <c r="A114" s="1">
        <v>46051</v>
      </c>
      <c r="B114" s="1" t="str">
        <f t="shared" si="4"/>
        <v>Thursday</v>
      </c>
      <c r="C114" s="1" t="str">
        <f t="shared" si="5"/>
        <v>Q1</v>
      </c>
      <c r="D114" s="1" t="str">
        <f t="shared" si="6"/>
        <v>Jan</v>
      </c>
      <c r="E114" s="1" t="str">
        <f t="shared" si="7"/>
        <v>2026</v>
      </c>
      <c r="F114" t="s">
        <v>13</v>
      </c>
      <c r="G114" s="3">
        <v>1999.8</v>
      </c>
      <c r="H114" s="3">
        <v>2029.1</v>
      </c>
      <c r="I114" s="3">
        <v>1972</v>
      </c>
      <c r="J114" s="3">
        <v>1994.7</v>
      </c>
      <c r="K114" s="3">
        <v>2016</v>
      </c>
      <c r="L114" s="3">
        <v>2019.2</v>
      </c>
      <c r="M114" s="3">
        <v>1999.01</v>
      </c>
      <c r="N114" s="3">
        <v>2695</v>
      </c>
      <c r="O114" s="3">
        <v>1848</v>
      </c>
      <c r="P114" s="3">
        <v>1391239</v>
      </c>
      <c r="Q114" s="3">
        <v>52774</v>
      </c>
    </row>
    <row r="115" spans="1:17" x14ac:dyDescent="0.3">
      <c r="A115" s="1">
        <v>46050</v>
      </c>
      <c r="B115" s="1" t="str">
        <f t="shared" si="4"/>
        <v>Wednesday</v>
      </c>
      <c r="C115" s="1" t="str">
        <f t="shared" si="5"/>
        <v>Q1</v>
      </c>
      <c r="D115" s="1" t="str">
        <f t="shared" si="6"/>
        <v>Jan</v>
      </c>
      <c r="E115" s="1" t="str">
        <f t="shared" si="7"/>
        <v>2026</v>
      </c>
      <c r="F115" t="s">
        <v>13</v>
      </c>
      <c r="G115" s="3">
        <v>1985</v>
      </c>
      <c r="H115" s="3">
        <v>2004</v>
      </c>
      <c r="I115" s="3">
        <v>1952</v>
      </c>
      <c r="J115" s="3">
        <v>1959.5</v>
      </c>
      <c r="K115" s="3">
        <v>1995</v>
      </c>
      <c r="L115" s="3">
        <v>1994.7</v>
      </c>
      <c r="M115" s="3">
        <v>1983.29</v>
      </c>
      <c r="N115" s="3">
        <v>2695</v>
      </c>
      <c r="O115" s="3">
        <v>1848</v>
      </c>
      <c r="P115" s="3">
        <v>2073198</v>
      </c>
      <c r="Q115" s="3">
        <v>64566</v>
      </c>
    </row>
    <row r="116" spans="1:17" x14ac:dyDescent="0.3">
      <c r="A116" s="1">
        <v>46049</v>
      </c>
      <c r="B116" s="1" t="str">
        <f t="shared" si="4"/>
        <v>Tuesday</v>
      </c>
      <c r="C116" s="1" t="str">
        <f t="shared" si="5"/>
        <v>Q1</v>
      </c>
      <c r="D116" s="1" t="str">
        <f t="shared" si="6"/>
        <v>Jan</v>
      </c>
      <c r="E116" s="1" t="str">
        <f t="shared" si="7"/>
        <v>2026</v>
      </c>
      <c r="F116" t="s">
        <v>13</v>
      </c>
      <c r="G116" s="3">
        <v>1909</v>
      </c>
      <c r="H116" s="3">
        <v>1973.9</v>
      </c>
      <c r="I116" s="3">
        <v>1893</v>
      </c>
      <c r="J116" s="3">
        <v>1864.2</v>
      </c>
      <c r="K116" s="3">
        <v>1963</v>
      </c>
      <c r="L116" s="3">
        <v>1959.5</v>
      </c>
      <c r="M116" s="3">
        <v>1946.17</v>
      </c>
      <c r="N116" s="3">
        <v>2695</v>
      </c>
      <c r="O116" s="3">
        <v>1848</v>
      </c>
      <c r="P116" s="3">
        <v>5449633</v>
      </c>
      <c r="Q116" s="3">
        <v>175711</v>
      </c>
    </row>
    <row r="117" spans="1:17" x14ac:dyDescent="0.3">
      <c r="A117" s="1">
        <v>46045</v>
      </c>
      <c r="B117" s="1" t="str">
        <f t="shared" si="4"/>
        <v>Friday</v>
      </c>
      <c r="C117" s="1" t="str">
        <f t="shared" si="5"/>
        <v>Q1</v>
      </c>
      <c r="D117" s="1" t="str">
        <f t="shared" si="6"/>
        <v>Jan</v>
      </c>
      <c r="E117" s="1" t="str">
        <f t="shared" si="7"/>
        <v>2026</v>
      </c>
      <c r="F117" t="s">
        <v>13</v>
      </c>
      <c r="G117" s="3">
        <v>2080.5</v>
      </c>
      <c r="H117" s="3">
        <v>2082.5</v>
      </c>
      <c r="I117" s="3">
        <v>1848</v>
      </c>
      <c r="J117" s="3">
        <v>2086.4</v>
      </c>
      <c r="K117" s="3">
        <v>1861.8</v>
      </c>
      <c r="L117" s="3">
        <v>1864.2</v>
      </c>
      <c r="M117" s="3">
        <v>1920.06</v>
      </c>
      <c r="N117" s="3">
        <v>2695</v>
      </c>
      <c r="O117" s="3">
        <v>1848</v>
      </c>
      <c r="P117" s="3">
        <v>7492631</v>
      </c>
      <c r="Q117" s="3">
        <v>229436</v>
      </c>
    </row>
    <row r="118" spans="1:17" x14ac:dyDescent="0.3">
      <c r="A118" s="1">
        <v>46044</v>
      </c>
      <c r="B118" s="1" t="str">
        <f t="shared" si="4"/>
        <v>Thursday</v>
      </c>
      <c r="C118" s="1" t="str">
        <f t="shared" si="5"/>
        <v>Q1</v>
      </c>
      <c r="D118" s="1" t="str">
        <f t="shared" si="6"/>
        <v>Jan</v>
      </c>
      <c r="E118" s="1" t="str">
        <f t="shared" si="7"/>
        <v>2026</v>
      </c>
      <c r="F118" t="s">
        <v>13</v>
      </c>
      <c r="G118" s="3">
        <v>2055.9</v>
      </c>
      <c r="H118" s="3">
        <v>2102.9</v>
      </c>
      <c r="I118" s="3">
        <v>2051</v>
      </c>
      <c r="J118" s="3">
        <v>2032.2</v>
      </c>
      <c r="K118" s="3">
        <v>2088.1999999999998</v>
      </c>
      <c r="L118" s="3">
        <v>2086.4</v>
      </c>
      <c r="M118" s="3">
        <v>2080.73</v>
      </c>
      <c r="N118" s="3">
        <v>2695</v>
      </c>
      <c r="O118" s="3">
        <v>2004.1</v>
      </c>
      <c r="P118" s="3">
        <v>942721</v>
      </c>
      <c r="Q118" s="3">
        <v>39536</v>
      </c>
    </row>
    <row r="119" spans="1:17" x14ac:dyDescent="0.3">
      <c r="A119" s="1">
        <v>46043</v>
      </c>
      <c r="B119" s="1" t="str">
        <f t="shared" si="4"/>
        <v>Wednesday</v>
      </c>
      <c r="C119" s="1" t="str">
        <f t="shared" si="5"/>
        <v>Q1</v>
      </c>
      <c r="D119" s="1" t="str">
        <f t="shared" si="6"/>
        <v>Jan</v>
      </c>
      <c r="E119" s="1" t="str">
        <f t="shared" si="7"/>
        <v>2026</v>
      </c>
      <c r="F119" t="s">
        <v>13</v>
      </c>
      <c r="G119" s="3">
        <v>2056.5</v>
      </c>
      <c r="H119" s="3">
        <v>2068.1999999999998</v>
      </c>
      <c r="I119" s="3">
        <v>2004.1</v>
      </c>
      <c r="J119" s="3">
        <v>2055.1</v>
      </c>
      <c r="K119" s="3">
        <v>2038</v>
      </c>
      <c r="L119" s="3">
        <v>2032.2</v>
      </c>
      <c r="M119" s="3">
        <v>2040.55</v>
      </c>
      <c r="N119" s="3">
        <v>2695</v>
      </c>
      <c r="O119" s="3">
        <v>2004.1</v>
      </c>
      <c r="P119" s="3">
        <v>1354644</v>
      </c>
      <c r="Q119" s="3">
        <v>54963</v>
      </c>
    </row>
    <row r="120" spans="1:17" x14ac:dyDescent="0.3">
      <c r="A120" s="1">
        <v>46042</v>
      </c>
      <c r="B120" s="1" t="str">
        <f t="shared" si="4"/>
        <v>Tuesday</v>
      </c>
      <c r="C120" s="1" t="str">
        <f t="shared" si="5"/>
        <v>Q1</v>
      </c>
      <c r="D120" s="1" t="str">
        <f t="shared" si="6"/>
        <v>Jan</v>
      </c>
      <c r="E120" s="1" t="str">
        <f t="shared" si="7"/>
        <v>2026</v>
      </c>
      <c r="F120" t="s">
        <v>13</v>
      </c>
      <c r="G120" s="3">
        <v>2134</v>
      </c>
      <c r="H120" s="3">
        <v>2139.9</v>
      </c>
      <c r="I120" s="3">
        <v>2040</v>
      </c>
      <c r="J120" s="3">
        <v>2134.6</v>
      </c>
      <c r="K120" s="3">
        <v>2050</v>
      </c>
      <c r="L120" s="3">
        <v>2055.1</v>
      </c>
      <c r="M120" s="3">
        <v>2088.4699999999998</v>
      </c>
      <c r="N120" s="3">
        <v>2695</v>
      </c>
      <c r="O120" s="3">
        <v>2026.55</v>
      </c>
      <c r="P120" s="3">
        <v>1160975</v>
      </c>
      <c r="Q120" s="3">
        <v>53992</v>
      </c>
    </row>
    <row r="121" spans="1:17" x14ac:dyDescent="0.3">
      <c r="A121" s="1">
        <v>46041</v>
      </c>
      <c r="B121" s="1" t="str">
        <f t="shared" si="4"/>
        <v>Monday</v>
      </c>
      <c r="C121" s="1" t="str">
        <f t="shared" si="5"/>
        <v>Q1</v>
      </c>
      <c r="D121" s="1" t="str">
        <f t="shared" si="6"/>
        <v>Jan</v>
      </c>
      <c r="E121" s="1" t="str">
        <f t="shared" si="7"/>
        <v>2026</v>
      </c>
      <c r="F121" t="s">
        <v>13</v>
      </c>
      <c r="G121" s="3">
        <v>2155</v>
      </c>
      <c r="H121" s="3">
        <v>2156.8000000000002</v>
      </c>
      <c r="I121" s="3">
        <v>2123</v>
      </c>
      <c r="J121" s="3">
        <v>2157.3000000000002</v>
      </c>
      <c r="K121" s="3">
        <v>2129</v>
      </c>
      <c r="L121" s="3">
        <v>2134.6</v>
      </c>
      <c r="M121" s="3">
        <v>2138.36</v>
      </c>
      <c r="N121" s="3">
        <v>2695</v>
      </c>
      <c r="O121" s="3">
        <v>2026.55</v>
      </c>
      <c r="P121" s="3">
        <v>749495</v>
      </c>
      <c r="Q121" s="3">
        <v>34175</v>
      </c>
    </row>
    <row r="122" spans="1:17" x14ac:dyDescent="0.3">
      <c r="A122" s="1">
        <v>46038</v>
      </c>
      <c r="B122" s="1" t="str">
        <f t="shared" si="4"/>
        <v>Friday</v>
      </c>
      <c r="C122" s="1" t="str">
        <f t="shared" si="5"/>
        <v>Q1</v>
      </c>
      <c r="D122" s="1" t="str">
        <f t="shared" si="6"/>
        <v>Jan</v>
      </c>
      <c r="E122" s="1" t="str">
        <f t="shared" si="7"/>
        <v>2026</v>
      </c>
      <c r="F122" t="s">
        <v>13</v>
      </c>
      <c r="G122" s="3">
        <v>2162.8000000000002</v>
      </c>
      <c r="H122" s="3">
        <v>2193.9</v>
      </c>
      <c r="I122" s="3">
        <v>2152.1</v>
      </c>
      <c r="J122" s="3">
        <v>2153.3000000000002</v>
      </c>
      <c r="K122" s="3">
        <v>2159</v>
      </c>
      <c r="L122" s="3">
        <v>2157.3000000000002</v>
      </c>
      <c r="M122" s="3">
        <v>2173.4699999999998</v>
      </c>
      <c r="N122" s="3">
        <v>2695</v>
      </c>
      <c r="O122" s="3">
        <v>2026.55</v>
      </c>
      <c r="P122" s="3">
        <v>758469</v>
      </c>
      <c r="Q122" s="3">
        <v>35470</v>
      </c>
    </row>
    <row r="123" spans="1:17" x14ac:dyDescent="0.3">
      <c r="A123" s="1">
        <v>46036</v>
      </c>
      <c r="B123" s="1" t="str">
        <f t="shared" si="4"/>
        <v>Wednesday</v>
      </c>
      <c r="C123" s="1" t="str">
        <f t="shared" si="5"/>
        <v>Q1</v>
      </c>
      <c r="D123" s="1" t="str">
        <f t="shared" si="6"/>
        <v>Jan</v>
      </c>
      <c r="E123" s="1" t="str">
        <f t="shared" si="7"/>
        <v>2026</v>
      </c>
      <c r="F123" t="s">
        <v>13</v>
      </c>
      <c r="G123" s="3">
        <v>2156</v>
      </c>
      <c r="H123" s="3">
        <v>2169</v>
      </c>
      <c r="I123" s="3">
        <v>2142</v>
      </c>
      <c r="J123" s="3">
        <v>2158.5</v>
      </c>
      <c r="K123" s="3">
        <v>2152</v>
      </c>
      <c r="L123" s="3">
        <v>2153.3000000000002</v>
      </c>
      <c r="M123" s="3">
        <v>2156.29</v>
      </c>
      <c r="N123" s="3">
        <v>2695</v>
      </c>
      <c r="O123" s="3">
        <v>2026.55</v>
      </c>
      <c r="P123" s="3">
        <v>618139</v>
      </c>
      <c r="Q123" s="3">
        <v>31911</v>
      </c>
    </row>
    <row r="124" spans="1:17" x14ac:dyDescent="0.3">
      <c r="A124" s="1">
        <v>46035</v>
      </c>
      <c r="B124" s="1" t="str">
        <f t="shared" si="4"/>
        <v>Tuesday</v>
      </c>
      <c r="C124" s="1" t="str">
        <f t="shared" si="5"/>
        <v>Q1</v>
      </c>
      <c r="D124" s="1" t="str">
        <f t="shared" si="6"/>
        <v>Jan</v>
      </c>
      <c r="E124" s="1" t="str">
        <f t="shared" si="7"/>
        <v>2026</v>
      </c>
      <c r="F124" t="s">
        <v>13</v>
      </c>
      <c r="G124" s="3">
        <v>2187.8000000000002</v>
      </c>
      <c r="H124" s="3">
        <v>2187.8000000000002</v>
      </c>
      <c r="I124" s="3">
        <v>2141.1</v>
      </c>
      <c r="J124" s="3">
        <v>2171.6</v>
      </c>
      <c r="K124" s="3">
        <v>2156.5</v>
      </c>
      <c r="L124" s="3">
        <v>2158.5</v>
      </c>
      <c r="M124" s="3">
        <v>2162.56</v>
      </c>
      <c r="N124" s="3">
        <v>2695</v>
      </c>
      <c r="O124" s="3">
        <v>2026.55</v>
      </c>
      <c r="P124" s="3">
        <v>791556</v>
      </c>
      <c r="Q124" s="3">
        <v>32648</v>
      </c>
    </row>
    <row r="125" spans="1:17" x14ac:dyDescent="0.3">
      <c r="A125" s="1">
        <v>46034</v>
      </c>
      <c r="B125" s="1" t="str">
        <f t="shared" si="4"/>
        <v>Monday</v>
      </c>
      <c r="C125" s="1" t="str">
        <f t="shared" si="5"/>
        <v>Q1</v>
      </c>
      <c r="D125" s="1" t="str">
        <f t="shared" si="6"/>
        <v>Jan</v>
      </c>
      <c r="E125" s="1" t="str">
        <f t="shared" si="7"/>
        <v>2026</v>
      </c>
      <c r="F125" t="s">
        <v>13</v>
      </c>
      <c r="G125" s="3">
        <v>2156.6</v>
      </c>
      <c r="H125" s="3">
        <v>2180</v>
      </c>
      <c r="I125" s="3">
        <v>2119</v>
      </c>
      <c r="J125" s="3">
        <v>2153.6999999999998</v>
      </c>
      <c r="K125" s="3">
        <v>2177</v>
      </c>
      <c r="L125" s="3">
        <v>2171.6</v>
      </c>
      <c r="M125" s="3">
        <v>2150.41</v>
      </c>
      <c r="N125" s="3">
        <v>2695</v>
      </c>
      <c r="O125" s="3">
        <v>2026.55</v>
      </c>
      <c r="P125" s="3">
        <v>1257197</v>
      </c>
      <c r="Q125" s="3">
        <v>53143</v>
      </c>
    </row>
    <row r="126" spans="1:17" x14ac:dyDescent="0.3">
      <c r="A126" s="1">
        <v>46031</v>
      </c>
      <c r="B126" s="1" t="str">
        <f t="shared" si="4"/>
        <v>Friday</v>
      </c>
      <c r="C126" s="1" t="str">
        <f t="shared" si="5"/>
        <v>Q1</v>
      </c>
      <c r="D126" s="1" t="str">
        <f t="shared" si="6"/>
        <v>Jan</v>
      </c>
      <c r="E126" s="1" t="str">
        <f t="shared" si="7"/>
        <v>2026</v>
      </c>
      <c r="F126" t="s">
        <v>13</v>
      </c>
      <c r="G126" s="3">
        <v>2214.1</v>
      </c>
      <c r="H126" s="3">
        <v>2216</v>
      </c>
      <c r="I126" s="3">
        <v>2145</v>
      </c>
      <c r="J126" s="3">
        <v>2214</v>
      </c>
      <c r="K126" s="3">
        <v>2156.6</v>
      </c>
      <c r="L126" s="3">
        <v>2153.6999999999998</v>
      </c>
      <c r="M126" s="3">
        <v>2173.4299999999998</v>
      </c>
      <c r="N126" s="3">
        <v>2695</v>
      </c>
      <c r="O126" s="3">
        <v>2026.55</v>
      </c>
      <c r="P126" s="3">
        <v>1570376</v>
      </c>
      <c r="Q126" s="3">
        <v>64331</v>
      </c>
    </row>
    <row r="127" spans="1:17" x14ac:dyDescent="0.3">
      <c r="A127" s="1">
        <v>46030</v>
      </c>
      <c r="B127" s="1" t="str">
        <f t="shared" si="4"/>
        <v>Thursday</v>
      </c>
      <c r="C127" s="1" t="str">
        <f t="shared" si="5"/>
        <v>Q1</v>
      </c>
      <c r="D127" s="1" t="str">
        <f t="shared" si="6"/>
        <v>Jan</v>
      </c>
      <c r="E127" s="1" t="str">
        <f t="shared" si="7"/>
        <v>2026</v>
      </c>
      <c r="F127" t="s">
        <v>13</v>
      </c>
      <c r="G127" s="3">
        <v>2275</v>
      </c>
      <c r="H127" s="3">
        <v>2275.9</v>
      </c>
      <c r="I127" s="3">
        <v>2205</v>
      </c>
      <c r="J127" s="3">
        <v>2274.1</v>
      </c>
      <c r="K127" s="3">
        <v>2209.3000000000002</v>
      </c>
      <c r="L127" s="3">
        <v>2214</v>
      </c>
      <c r="M127" s="3">
        <v>2230.9699999999998</v>
      </c>
      <c r="N127" s="3">
        <v>2695</v>
      </c>
      <c r="O127" s="3">
        <v>2026.55</v>
      </c>
      <c r="P127" s="3">
        <v>792800</v>
      </c>
      <c r="Q127" s="3">
        <v>38536</v>
      </c>
    </row>
    <row r="128" spans="1:17" x14ac:dyDescent="0.3">
      <c r="A128" s="1">
        <v>46029</v>
      </c>
      <c r="B128" s="1" t="str">
        <f t="shared" si="4"/>
        <v>Wednesday</v>
      </c>
      <c r="C128" s="1" t="str">
        <f t="shared" si="5"/>
        <v>Q1</v>
      </c>
      <c r="D128" s="1" t="str">
        <f t="shared" si="6"/>
        <v>Jan</v>
      </c>
      <c r="E128" s="1" t="str">
        <f t="shared" si="7"/>
        <v>2026</v>
      </c>
      <c r="F128" t="s">
        <v>13</v>
      </c>
      <c r="G128" s="3">
        <v>2265</v>
      </c>
      <c r="H128" s="3">
        <v>2284</v>
      </c>
      <c r="I128" s="3">
        <v>2243</v>
      </c>
      <c r="J128" s="3">
        <v>2259.1</v>
      </c>
      <c r="K128" s="3">
        <v>2271.9</v>
      </c>
      <c r="L128" s="3">
        <v>2274.1</v>
      </c>
      <c r="M128" s="3">
        <v>2267.5500000000002</v>
      </c>
      <c r="N128" s="3">
        <v>2695</v>
      </c>
      <c r="O128" s="3">
        <v>2026.55</v>
      </c>
      <c r="P128" s="3">
        <v>529451</v>
      </c>
      <c r="Q128" s="3">
        <v>28649</v>
      </c>
    </row>
    <row r="129" spans="1:17" x14ac:dyDescent="0.3">
      <c r="A129" s="1">
        <v>46028</v>
      </c>
      <c r="B129" s="1" t="str">
        <f t="shared" si="4"/>
        <v>Tuesday</v>
      </c>
      <c r="C129" s="1" t="str">
        <f t="shared" si="5"/>
        <v>Q1</v>
      </c>
      <c r="D129" s="1" t="str">
        <f t="shared" si="6"/>
        <v>Jan</v>
      </c>
      <c r="E129" s="1" t="str">
        <f t="shared" si="7"/>
        <v>2026</v>
      </c>
      <c r="F129" t="s">
        <v>13</v>
      </c>
      <c r="G129" s="3">
        <v>2288.9</v>
      </c>
      <c r="H129" s="3">
        <v>2290.4</v>
      </c>
      <c r="I129" s="3">
        <v>2248.1</v>
      </c>
      <c r="J129" s="3">
        <v>2279.5</v>
      </c>
      <c r="K129" s="3">
        <v>2262</v>
      </c>
      <c r="L129" s="3">
        <v>2259.1</v>
      </c>
      <c r="M129" s="3">
        <v>2266.66</v>
      </c>
      <c r="N129" s="3">
        <v>2695</v>
      </c>
      <c r="O129" s="3">
        <v>2026.55</v>
      </c>
      <c r="P129" s="3">
        <v>698294</v>
      </c>
      <c r="Q129" s="3">
        <v>30388</v>
      </c>
    </row>
    <row r="130" spans="1:17" x14ac:dyDescent="0.3">
      <c r="A130" s="1">
        <v>46027</v>
      </c>
      <c r="B130" s="1" t="str">
        <f t="shared" si="4"/>
        <v>Monday</v>
      </c>
      <c r="C130" s="1" t="str">
        <f t="shared" si="5"/>
        <v>Q1</v>
      </c>
      <c r="D130" s="1" t="str">
        <f t="shared" si="6"/>
        <v>Jan</v>
      </c>
      <c r="E130" s="1" t="str">
        <f t="shared" si="7"/>
        <v>2026</v>
      </c>
      <c r="F130" t="s">
        <v>13</v>
      </c>
      <c r="G130" s="3">
        <v>2287</v>
      </c>
      <c r="H130" s="3">
        <v>2303.9</v>
      </c>
      <c r="I130" s="3">
        <v>2274.3000000000002</v>
      </c>
      <c r="J130" s="3">
        <v>2279.8000000000002</v>
      </c>
      <c r="K130" s="3">
        <v>2279</v>
      </c>
      <c r="L130" s="3">
        <v>2279.5</v>
      </c>
      <c r="M130" s="3">
        <v>2285.62</v>
      </c>
      <c r="N130" s="3">
        <v>2695</v>
      </c>
      <c r="O130" s="3">
        <v>2026.55</v>
      </c>
      <c r="P130" s="3">
        <v>696380</v>
      </c>
      <c r="Q130" s="3">
        <v>35281</v>
      </c>
    </row>
    <row r="131" spans="1:17" x14ac:dyDescent="0.3">
      <c r="A131" s="1">
        <v>46024</v>
      </c>
      <c r="B131" s="1" t="str">
        <f t="shared" ref="B131:B194" si="8">TEXT(A131,"dddd")</f>
        <v>Friday</v>
      </c>
      <c r="C131" s="1" t="str">
        <f t="shared" ref="C131:C194" si="9">"Q"&amp;ROUNDUP(MONTH(A131)/3,0)</f>
        <v>Q1</v>
      </c>
      <c r="D131" s="1" t="str">
        <f t="shared" ref="D131:D194" si="10">TEXT(A131,"MMM")</f>
        <v>Jan</v>
      </c>
      <c r="E131" s="1" t="str">
        <f t="shared" ref="E131:E194" si="11">TEXT(A131,"YYYY")</f>
        <v>2026</v>
      </c>
      <c r="F131" t="s">
        <v>13</v>
      </c>
      <c r="G131" s="3">
        <v>2260</v>
      </c>
      <c r="H131" s="3">
        <v>2283.6999999999998</v>
      </c>
      <c r="I131" s="3">
        <v>2259</v>
      </c>
      <c r="J131" s="3">
        <v>2260</v>
      </c>
      <c r="K131" s="3">
        <v>2278</v>
      </c>
      <c r="L131" s="3">
        <v>2279.8000000000002</v>
      </c>
      <c r="M131" s="3">
        <v>2273.2399999999998</v>
      </c>
      <c r="N131" s="3">
        <v>2695</v>
      </c>
      <c r="O131" s="3">
        <v>2026.55</v>
      </c>
      <c r="P131" s="3">
        <v>715242</v>
      </c>
      <c r="Q131" s="3">
        <v>31529</v>
      </c>
    </row>
    <row r="132" spans="1:17" x14ac:dyDescent="0.3">
      <c r="A132" s="1">
        <v>46023</v>
      </c>
      <c r="B132" s="1" t="str">
        <f t="shared" si="8"/>
        <v>Thursday</v>
      </c>
      <c r="C132" s="1" t="str">
        <f t="shared" si="9"/>
        <v>Q1</v>
      </c>
      <c r="D132" s="1" t="str">
        <f t="shared" si="10"/>
        <v>Jan</v>
      </c>
      <c r="E132" s="1" t="str">
        <f t="shared" si="11"/>
        <v>2026</v>
      </c>
      <c r="F132" t="s">
        <v>13</v>
      </c>
      <c r="G132" s="3">
        <v>2249</v>
      </c>
      <c r="H132" s="3">
        <v>2287.4</v>
      </c>
      <c r="I132" s="3">
        <v>2241</v>
      </c>
      <c r="J132" s="3">
        <v>2239.6999999999998</v>
      </c>
      <c r="K132" s="3">
        <v>2254.4</v>
      </c>
      <c r="L132" s="3">
        <v>2260</v>
      </c>
      <c r="M132" s="3">
        <v>2265.77</v>
      </c>
      <c r="N132" s="3">
        <v>2695</v>
      </c>
      <c r="O132" s="3">
        <v>2026.55</v>
      </c>
      <c r="P132" s="3">
        <v>1046220</v>
      </c>
      <c r="Q132" s="3">
        <v>44508</v>
      </c>
    </row>
    <row r="133" spans="1:17" x14ac:dyDescent="0.3">
      <c r="A133" s="1">
        <v>46022</v>
      </c>
      <c r="B133" s="1" t="str">
        <f t="shared" si="8"/>
        <v>Wednesday</v>
      </c>
      <c r="C133" s="1" t="str">
        <f t="shared" si="9"/>
        <v>Q4</v>
      </c>
      <c r="D133" s="1" t="str">
        <f t="shared" si="10"/>
        <v>Dec</v>
      </c>
      <c r="E133" s="1" t="str">
        <f t="shared" si="11"/>
        <v>2025</v>
      </c>
      <c r="F133" t="s">
        <v>13</v>
      </c>
      <c r="G133" s="3">
        <v>2216.3000000000002</v>
      </c>
      <c r="H133" s="3">
        <v>2246.4</v>
      </c>
      <c r="I133" s="3">
        <v>2216.3000000000002</v>
      </c>
      <c r="J133" s="3">
        <v>2214.6999999999998</v>
      </c>
      <c r="K133" s="3">
        <v>2239</v>
      </c>
      <c r="L133" s="3">
        <v>2239.6999999999998</v>
      </c>
      <c r="M133" s="3">
        <v>2234.92</v>
      </c>
      <c r="N133" s="3">
        <v>2695</v>
      </c>
      <c r="O133" s="3">
        <v>2026.55</v>
      </c>
      <c r="P133" s="3">
        <v>779141</v>
      </c>
      <c r="Q133" s="3">
        <v>26919</v>
      </c>
    </row>
    <row r="134" spans="1:17" x14ac:dyDescent="0.3">
      <c r="A134" s="1">
        <v>46021</v>
      </c>
      <c r="B134" s="1" t="str">
        <f t="shared" si="8"/>
        <v>Tuesday</v>
      </c>
      <c r="C134" s="1" t="str">
        <f t="shared" si="9"/>
        <v>Q4</v>
      </c>
      <c r="D134" s="1" t="str">
        <f t="shared" si="10"/>
        <v>Dec</v>
      </c>
      <c r="E134" s="1" t="str">
        <f t="shared" si="11"/>
        <v>2025</v>
      </c>
      <c r="F134" t="s">
        <v>13</v>
      </c>
      <c r="G134" s="3">
        <v>2204.8000000000002</v>
      </c>
      <c r="H134" s="3">
        <v>2219</v>
      </c>
      <c r="I134" s="3">
        <v>2195</v>
      </c>
      <c r="J134" s="3">
        <v>2203.1999999999998</v>
      </c>
      <c r="K134" s="3">
        <v>2215.8000000000002</v>
      </c>
      <c r="L134" s="3">
        <v>2214.6999999999998</v>
      </c>
      <c r="M134" s="3">
        <v>2209.11</v>
      </c>
      <c r="N134" s="3">
        <v>2695</v>
      </c>
      <c r="O134" s="3">
        <v>2026.55</v>
      </c>
      <c r="P134" s="3">
        <v>935026</v>
      </c>
      <c r="Q134" s="3">
        <v>45283</v>
      </c>
    </row>
    <row r="135" spans="1:17" x14ac:dyDescent="0.3">
      <c r="A135" s="1">
        <v>46020</v>
      </c>
      <c r="B135" s="1" t="str">
        <f t="shared" si="8"/>
        <v>Monday</v>
      </c>
      <c r="C135" s="1" t="str">
        <f t="shared" si="9"/>
        <v>Q4</v>
      </c>
      <c r="D135" s="1" t="str">
        <f t="shared" si="10"/>
        <v>Dec</v>
      </c>
      <c r="E135" s="1" t="str">
        <f t="shared" si="11"/>
        <v>2025</v>
      </c>
      <c r="F135" t="s">
        <v>13</v>
      </c>
      <c r="G135" s="3">
        <v>2232</v>
      </c>
      <c r="H135" s="3">
        <v>2238.1999999999998</v>
      </c>
      <c r="I135" s="3">
        <v>2196</v>
      </c>
      <c r="J135" s="3">
        <v>2229.9</v>
      </c>
      <c r="K135" s="3">
        <v>2201</v>
      </c>
      <c r="L135" s="3">
        <v>2203.1999999999998</v>
      </c>
      <c r="M135" s="3">
        <v>2214.63</v>
      </c>
      <c r="N135" s="3">
        <v>2695</v>
      </c>
      <c r="O135" s="3">
        <v>2026.55</v>
      </c>
      <c r="P135" s="3">
        <v>690691</v>
      </c>
      <c r="Q135" s="3">
        <v>27113</v>
      </c>
    </row>
    <row r="136" spans="1:17" x14ac:dyDescent="0.3">
      <c r="A136" s="1">
        <v>46017</v>
      </c>
      <c r="B136" s="1" t="str">
        <f t="shared" si="8"/>
        <v>Friday</v>
      </c>
      <c r="C136" s="1" t="str">
        <f t="shared" si="9"/>
        <v>Q4</v>
      </c>
      <c r="D136" s="1" t="str">
        <f t="shared" si="10"/>
        <v>Dec</v>
      </c>
      <c r="E136" s="1" t="str">
        <f t="shared" si="11"/>
        <v>2025</v>
      </c>
      <c r="F136" t="s">
        <v>13</v>
      </c>
      <c r="G136" s="3">
        <v>2229.3000000000002</v>
      </c>
      <c r="H136" s="3">
        <v>2250.9</v>
      </c>
      <c r="I136" s="3">
        <v>2218</v>
      </c>
      <c r="J136" s="3">
        <v>2222.6999999999998</v>
      </c>
      <c r="K136" s="3">
        <v>2231</v>
      </c>
      <c r="L136" s="3">
        <v>2229.9</v>
      </c>
      <c r="M136" s="3">
        <v>2235.41</v>
      </c>
      <c r="N136" s="3">
        <v>2695</v>
      </c>
      <c r="O136" s="3">
        <v>2026.55</v>
      </c>
      <c r="P136" s="3">
        <v>566237</v>
      </c>
      <c r="Q136" s="3">
        <v>24388</v>
      </c>
    </row>
    <row r="137" spans="1:17" x14ac:dyDescent="0.3">
      <c r="A137" s="1">
        <v>46015</v>
      </c>
      <c r="B137" s="1" t="str">
        <f t="shared" si="8"/>
        <v>Wednesday</v>
      </c>
      <c r="C137" s="1" t="str">
        <f t="shared" si="9"/>
        <v>Q4</v>
      </c>
      <c r="D137" s="1" t="str">
        <f t="shared" si="10"/>
        <v>Dec</v>
      </c>
      <c r="E137" s="1" t="str">
        <f t="shared" si="11"/>
        <v>2025</v>
      </c>
      <c r="F137" t="s">
        <v>13</v>
      </c>
      <c r="G137" s="3">
        <v>2250</v>
      </c>
      <c r="H137" s="3">
        <v>2258.8000000000002</v>
      </c>
      <c r="I137" s="3">
        <v>2217.4</v>
      </c>
      <c r="J137" s="3">
        <v>2248.8000000000002</v>
      </c>
      <c r="K137" s="3">
        <v>2218</v>
      </c>
      <c r="L137" s="3">
        <v>2222.6999999999998</v>
      </c>
      <c r="M137" s="3">
        <v>2238</v>
      </c>
      <c r="N137" s="3">
        <v>2695</v>
      </c>
      <c r="O137" s="3">
        <v>2026.55</v>
      </c>
      <c r="P137" s="3">
        <v>825693</v>
      </c>
      <c r="Q137" s="3">
        <v>27346</v>
      </c>
    </row>
    <row r="138" spans="1:17" x14ac:dyDescent="0.3">
      <c r="A138" s="1">
        <v>46014</v>
      </c>
      <c r="B138" s="1" t="str">
        <f t="shared" si="8"/>
        <v>Tuesday</v>
      </c>
      <c r="C138" s="1" t="str">
        <f t="shared" si="9"/>
        <v>Q4</v>
      </c>
      <c r="D138" s="1" t="str">
        <f t="shared" si="10"/>
        <v>Dec</v>
      </c>
      <c r="E138" s="1" t="str">
        <f t="shared" si="11"/>
        <v>2025</v>
      </c>
      <c r="F138" t="s">
        <v>13</v>
      </c>
      <c r="G138" s="3">
        <v>2272.5</v>
      </c>
      <c r="H138" s="3">
        <v>2273.6</v>
      </c>
      <c r="I138" s="3">
        <v>2245</v>
      </c>
      <c r="J138" s="3">
        <v>2263.5</v>
      </c>
      <c r="K138" s="3">
        <v>2246.6999999999998</v>
      </c>
      <c r="L138" s="3">
        <v>2248.8000000000002</v>
      </c>
      <c r="M138" s="3">
        <v>2256.9699999999998</v>
      </c>
      <c r="N138" s="3">
        <v>2695</v>
      </c>
      <c r="O138" s="3">
        <v>2026.55</v>
      </c>
      <c r="P138" s="3">
        <v>450112</v>
      </c>
      <c r="Q138" s="3">
        <v>23215</v>
      </c>
    </row>
    <row r="139" spans="1:17" x14ac:dyDescent="0.3">
      <c r="A139" s="1">
        <v>46013</v>
      </c>
      <c r="B139" s="1" t="str">
        <f t="shared" si="8"/>
        <v>Monday</v>
      </c>
      <c r="C139" s="1" t="str">
        <f t="shared" si="9"/>
        <v>Q4</v>
      </c>
      <c r="D139" s="1" t="str">
        <f t="shared" si="10"/>
        <v>Dec</v>
      </c>
      <c r="E139" s="1" t="str">
        <f t="shared" si="11"/>
        <v>2025</v>
      </c>
      <c r="F139" t="s">
        <v>13</v>
      </c>
      <c r="G139" s="3">
        <v>2260</v>
      </c>
      <c r="H139" s="3">
        <v>2274</v>
      </c>
      <c r="I139" s="3">
        <v>2245.9</v>
      </c>
      <c r="J139" s="3">
        <v>2239</v>
      </c>
      <c r="K139" s="3">
        <v>2261</v>
      </c>
      <c r="L139" s="3">
        <v>2263.5</v>
      </c>
      <c r="M139" s="3">
        <v>2262.46</v>
      </c>
      <c r="N139" s="3">
        <v>2695</v>
      </c>
      <c r="O139" s="3">
        <v>2026.55</v>
      </c>
      <c r="P139" s="3">
        <v>599195</v>
      </c>
      <c r="Q139" s="3">
        <v>28721</v>
      </c>
    </row>
    <row r="140" spans="1:17" x14ac:dyDescent="0.3">
      <c r="A140" s="1">
        <v>46010</v>
      </c>
      <c r="B140" s="1" t="str">
        <f t="shared" si="8"/>
        <v>Friday</v>
      </c>
      <c r="C140" s="1" t="str">
        <f t="shared" si="9"/>
        <v>Q4</v>
      </c>
      <c r="D140" s="1" t="str">
        <f t="shared" si="10"/>
        <v>Dec</v>
      </c>
      <c r="E140" s="1" t="str">
        <f t="shared" si="11"/>
        <v>2025</v>
      </c>
      <c r="F140" t="s">
        <v>13</v>
      </c>
      <c r="G140" s="3">
        <v>2249</v>
      </c>
      <c r="H140" s="3">
        <v>2250</v>
      </c>
      <c r="I140" s="3">
        <v>2210</v>
      </c>
      <c r="J140" s="3">
        <v>2229.3000000000002</v>
      </c>
      <c r="K140" s="3">
        <v>2243.9</v>
      </c>
      <c r="L140" s="3">
        <v>2239</v>
      </c>
      <c r="M140" s="3">
        <v>2230.79</v>
      </c>
      <c r="N140" s="3">
        <v>2695</v>
      </c>
      <c r="O140" s="3">
        <v>2026.55</v>
      </c>
      <c r="P140" s="3">
        <v>880005</v>
      </c>
      <c r="Q140" s="3">
        <v>31918</v>
      </c>
    </row>
    <row r="141" spans="1:17" x14ac:dyDescent="0.3">
      <c r="A141" s="1">
        <v>46009</v>
      </c>
      <c r="B141" s="1" t="str">
        <f t="shared" si="8"/>
        <v>Thursday</v>
      </c>
      <c r="C141" s="1" t="str">
        <f t="shared" si="9"/>
        <v>Q4</v>
      </c>
      <c r="D141" s="1" t="str">
        <f t="shared" si="10"/>
        <v>Dec</v>
      </c>
      <c r="E141" s="1" t="str">
        <f t="shared" si="11"/>
        <v>2025</v>
      </c>
      <c r="F141" t="s">
        <v>13</v>
      </c>
      <c r="G141" s="3">
        <v>2236.4</v>
      </c>
      <c r="H141" s="3">
        <v>2245</v>
      </c>
      <c r="I141" s="3">
        <v>2211.1</v>
      </c>
      <c r="J141" s="3">
        <v>2232.5</v>
      </c>
      <c r="K141" s="3">
        <v>2228.1999999999998</v>
      </c>
      <c r="L141" s="3">
        <v>2229.3000000000002</v>
      </c>
      <c r="M141" s="3">
        <v>2230.17</v>
      </c>
      <c r="N141" s="3">
        <v>2695</v>
      </c>
      <c r="O141" s="3">
        <v>2026.55</v>
      </c>
      <c r="P141" s="3">
        <v>508238</v>
      </c>
      <c r="Q141" s="3">
        <v>25318</v>
      </c>
    </row>
    <row r="142" spans="1:17" x14ac:dyDescent="0.3">
      <c r="A142" s="1">
        <v>46008</v>
      </c>
      <c r="B142" s="1" t="str">
        <f t="shared" si="8"/>
        <v>Wednesday</v>
      </c>
      <c r="C142" s="1" t="str">
        <f t="shared" si="9"/>
        <v>Q4</v>
      </c>
      <c r="D142" s="1" t="str">
        <f t="shared" si="10"/>
        <v>Dec</v>
      </c>
      <c r="E142" s="1" t="str">
        <f t="shared" si="11"/>
        <v>2025</v>
      </c>
      <c r="F142" t="s">
        <v>13</v>
      </c>
      <c r="G142" s="3">
        <v>2247.6</v>
      </c>
      <c r="H142" s="3">
        <v>2255</v>
      </c>
      <c r="I142" s="3">
        <v>2221</v>
      </c>
      <c r="J142" s="3">
        <v>2247.9</v>
      </c>
      <c r="K142" s="3">
        <v>2232</v>
      </c>
      <c r="L142" s="3">
        <v>2232.5</v>
      </c>
      <c r="M142" s="3">
        <v>2234.7199999999998</v>
      </c>
      <c r="N142" s="3">
        <v>2695</v>
      </c>
      <c r="O142" s="3">
        <v>2026.55</v>
      </c>
      <c r="P142" s="3">
        <v>651509</v>
      </c>
      <c r="Q142" s="3">
        <v>34504</v>
      </c>
    </row>
    <row r="143" spans="1:17" x14ac:dyDescent="0.3">
      <c r="A143" s="1">
        <v>46007</v>
      </c>
      <c r="B143" s="1" t="str">
        <f t="shared" si="8"/>
        <v>Tuesday</v>
      </c>
      <c r="C143" s="1" t="str">
        <f t="shared" si="9"/>
        <v>Q4</v>
      </c>
      <c r="D143" s="1" t="str">
        <f t="shared" si="10"/>
        <v>Dec</v>
      </c>
      <c r="E143" s="1" t="str">
        <f t="shared" si="11"/>
        <v>2025</v>
      </c>
      <c r="F143" t="s">
        <v>13</v>
      </c>
      <c r="G143" s="3">
        <v>2270</v>
      </c>
      <c r="H143" s="3">
        <v>2276.8000000000002</v>
      </c>
      <c r="I143" s="3">
        <v>2232.1</v>
      </c>
      <c r="J143" s="3">
        <v>2278.9</v>
      </c>
      <c r="K143" s="3">
        <v>2242</v>
      </c>
      <c r="L143" s="3">
        <v>2247.9</v>
      </c>
      <c r="M143" s="3">
        <v>2248.44</v>
      </c>
      <c r="N143" s="3">
        <v>2695</v>
      </c>
      <c r="O143" s="3">
        <v>2026.55</v>
      </c>
      <c r="P143" s="3">
        <v>654714</v>
      </c>
      <c r="Q143" s="3">
        <v>34760</v>
      </c>
    </row>
    <row r="144" spans="1:17" x14ac:dyDescent="0.3">
      <c r="A144" s="1">
        <v>46006</v>
      </c>
      <c r="B144" s="1" t="str">
        <f t="shared" si="8"/>
        <v>Monday</v>
      </c>
      <c r="C144" s="1" t="str">
        <f t="shared" si="9"/>
        <v>Q4</v>
      </c>
      <c r="D144" s="1" t="str">
        <f t="shared" si="10"/>
        <v>Dec</v>
      </c>
      <c r="E144" s="1" t="str">
        <f t="shared" si="11"/>
        <v>2025</v>
      </c>
      <c r="F144" t="s">
        <v>13</v>
      </c>
      <c r="G144" s="3">
        <v>2282.4</v>
      </c>
      <c r="H144" s="3">
        <v>2300</v>
      </c>
      <c r="I144" s="3">
        <v>2273</v>
      </c>
      <c r="J144" s="3">
        <v>2282.4</v>
      </c>
      <c r="K144" s="3">
        <v>2280</v>
      </c>
      <c r="L144" s="3">
        <v>2278.9</v>
      </c>
      <c r="M144" s="3">
        <v>2284.25</v>
      </c>
      <c r="N144" s="3">
        <v>2695</v>
      </c>
      <c r="O144" s="3">
        <v>2026.55</v>
      </c>
      <c r="P144" s="3">
        <v>573027</v>
      </c>
      <c r="Q144" s="3">
        <v>29762</v>
      </c>
    </row>
    <row r="145" spans="1:17" x14ac:dyDescent="0.3">
      <c r="A145" s="1">
        <v>46003</v>
      </c>
      <c r="B145" s="1" t="str">
        <f t="shared" si="8"/>
        <v>Friday</v>
      </c>
      <c r="C145" s="1" t="str">
        <f t="shared" si="9"/>
        <v>Q4</v>
      </c>
      <c r="D145" s="1" t="str">
        <f t="shared" si="10"/>
        <v>Dec</v>
      </c>
      <c r="E145" s="1" t="str">
        <f t="shared" si="11"/>
        <v>2025</v>
      </c>
      <c r="F145" t="s">
        <v>13</v>
      </c>
      <c r="G145" s="3">
        <v>2277.6999999999998</v>
      </c>
      <c r="H145" s="3">
        <v>2296.8000000000002</v>
      </c>
      <c r="I145" s="3">
        <v>2270.1999999999998</v>
      </c>
      <c r="J145" s="3">
        <v>2277.6999999999998</v>
      </c>
      <c r="K145" s="3">
        <v>2284</v>
      </c>
      <c r="L145" s="3">
        <v>2282.4</v>
      </c>
      <c r="M145" s="3">
        <v>2282.7199999999998</v>
      </c>
      <c r="N145" s="3">
        <v>2695</v>
      </c>
      <c r="O145" s="3">
        <v>2026.55</v>
      </c>
      <c r="P145" s="3">
        <v>929199</v>
      </c>
      <c r="Q145" s="3">
        <v>31417</v>
      </c>
    </row>
    <row r="146" spans="1:17" x14ac:dyDescent="0.3">
      <c r="A146" s="1">
        <v>46002</v>
      </c>
      <c r="B146" s="1" t="str">
        <f t="shared" si="8"/>
        <v>Thursday</v>
      </c>
      <c r="C146" s="1" t="str">
        <f t="shared" si="9"/>
        <v>Q4</v>
      </c>
      <c r="D146" s="1" t="str">
        <f t="shared" si="10"/>
        <v>Dec</v>
      </c>
      <c r="E146" s="1" t="str">
        <f t="shared" si="11"/>
        <v>2025</v>
      </c>
      <c r="F146" t="s">
        <v>13</v>
      </c>
      <c r="G146" s="3">
        <v>2225</v>
      </c>
      <c r="H146" s="3">
        <v>2293.9</v>
      </c>
      <c r="I146" s="3">
        <v>2192.4</v>
      </c>
      <c r="J146" s="3">
        <v>2211.6</v>
      </c>
      <c r="K146" s="3">
        <v>2270.1999999999998</v>
      </c>
      <c r="L146" s="3">
        <v>2277.6999999999998</v>
      </c>
      <c r="M146" s="3">
        <v>2255.58</v>
      </c>
      <c r="N146" s="3">
        <v>2695</v>
      </c>
      <c r="O146" s="3">
        <v>2026.55</v>
      </c>
      <c r="P146" s="3">
        <v>1519832</v>
      </c>
      <c r="Q146" s="3">
        <v>52376</v>
      </c>
    </row>
    <row r="147" spans="1:17" x14ac:dyDescent="0.3">
      <c r="A147" s="1">
        <v>46001</v>
      </c>
      <c r="B147" s="1" t="str">
        <f t="shared" si="8"/>
        <v>Wednesday</v>
      </c>
      <c r="C147" s="1" t="str">
        <f t="shared" si="9"/>
        <v>Q4</v>
      </c>
      <c r="D147" s="1" t="str">
        <f t="shared" si="10"/>
        <v>Dec</v>
      </c>
      <c r="E147" s="1" t="str">
        <f t="shared" si="11"/>
        <v>2025</v>
      </c>
      <c r="F147" t="s">
        <v>13</v>
      </c>
      <c r="G147" s="3">
        <v>2255.8000000000002</v>
      </c>
      <c r="H147" s="3">
        <v>2267.5</v>
      </c>
      <c r="I147" s="3">
        <v>2204.1</v>
      </c>
      <c r="J147" s="3">
        <v>2245.1999999999998</v>
      </c>
      <c r="K147" s="3">
        <v>2213.9</v>
      </c>
      <c r="L147" s="3">
        <v>2211.6</v>
      </c>
      <c r="M147" s="3">
        <v>2239.02</v>
      </c>
      <c r="N147" s="3">
        <v>2695</v>
      </c>
      <c r="O147" s="3">
        <v>2026.55</v>
      </c>
      <c r="P147" s="3">
        <v>935149</v>
      </c>
      <c r="Q147" s="3">
        <v>37803</v>
      </c>
    </row>
    <row r="148" spans="1:17" x14ac:dyDescent="0.3">
      <c r="A148" s="1">
        <v>46000</v>
      </c>
      <c r="B148" s="1" t="str">
        <f t="shared" si="8"/>
        <v>Tuesday</v>
      </c>
      <c r="C148" s="1" t="str">
        <f t="shared" si="9"/>
        <v>Q4</v>
      </c>
      <c r="D148" s="1" t="str">
        <f t="shared" si="10"/>
        <v>Dec</v>
      </c>
      <c r="E148" s="1" t="str">
        <f t="shared" si="11"/>
        <v>2025</v>
      </c>
      <c r="F148" t="s">
        <v>13</v>
      </c>
      <c r="G148" s="3">
        <v>2216.1999999999998</v>
      </c>
      <c r="H148" s="3">
        <v>2257</v>
      </c>
      <c r="I148" s="3">
        <v>2178.4</v>
      </c>
      <c r="J148" s="3">
        <v>2216.1999999999998</v>
      </c>
      <c r="K148" s="3">
        <v>2250</v>
      </c>
      <c r="L148" s="3">
        <v>2245.1999999999998</v>
      </c>
      <c r="M148" s="3">
        <v>2226.67</v>
      </c>
      <c r="N148" s="3">
        <v>2695</v>
      </c>
      <c r="O148" s="3">
        <v>2026.55</v>
      </c>
      <c r="P148" s="3">
        <v>1227728</v>
      </c>
      <c r="Q148" s="3">
        <v>51676</v>
      </c>
    </row>
    <row r="149" spans="1:17" x14ac:dyDescent="0.3">
      <c r="A149" s="1">
        <v>45999</v>
      </c>
      <c r="B149" s="1" t="str">
        <f t="shared" si="8"/>
        <v>Monday</v>
      </c>
      <c r="C149" s="1" t="str">
        <f t="shared" si="9"/>
        <v>Q4</v>
      </c>
      <c r="D149" s="1" t="str">
        <f t="shared" si="10"/>
        <v>Dec</v>
      </c>
      <c r="E149" s="1" t="str">
        <f t="shared" si="11"/>
        <v>2025</v>
      </c>
      <c r="F149" t="s">
        <v>13</v>
      </c>
      <c r="G149" s="3">
        <v>2265.4</v>
      </c>
      <c r="H149" s="3">
        <v>2270.4</v>
      </c>
      <c r="I149" s="3">
        <v>2205</v>
      </c>
      <c r="J149" s="3">
        <v>2265.4</v>
      </c>
      <c r="K149" s="3">
        <v>2212</v>
      </c>
      <c r="L149" s="3">
        <v>2216.1999999999998</v>
      </c>
      <c r="M149" s="3">
        <v>2229.8200000000002</v>
      </c>
      <c r="N149" s="3">
        <v>2695</v>
      </c>
      <c r="O149" s="3">
        <v>2026.55</v>
      </c>
      <c r="P149" s="3">
        <v>939764</v>
      </c>
      <c r="Q149" s="3">
        <v>43380</v>
      </c>
    </row>
    <row r="150" spans="1:17" x14ac:dyDescent="0.3">
      <c r="A150" s="1">
        <v>45996</v>
      </c>
      <c r="B150" s="1" t="str">
        <f t="shared" si="8"/>
        <v>Friday</v>
      </c>
      <c r="C150" s="1" t="str">
        <f t="shared" si="9"/>
        <v>Q4</v>
      </c>
      <c r="D150" s="1" t="str">
        <f t="shared" si="10"/>
        <v>Dec</v>
      </c>
      <c r="E150" s="1" t="str">
        <f t="shared" si="11"/>
        <v>2025</v>
      </c>
      <c r="F150" t="s">
        <v>13</v>
      </c>
      <c r="G150" s="3">
        <v>2217.9</v>
      </c>
      <c r="H150" s="3">
        <v>2268.6</v>
      </c>
      <c r="I150" s="3">
        <v>2202.9</v>
      </c>
      <c r="J150" s="3">
        <v>2217.9</v>
      </c>
      <c r="K150" s="3">
        <v>2263</v>
      </c>
      <c r="L150" s="3">
        <v>2265.4</v>
      </c>
      <c r="M150" s="3">
        <v>2240.36</v>
      </c>
      <c r="N150" s="3">
        <v>2695</v>
      </c>
      <c r="O150" s="3">
        <v>2026.55</v>
      </c>
      <c r="P150" s="3">
        <v>2400781</v>
      </c>
      <c r="Q150" s="3">
        <v>67680</v>
      </c>
    </row>
    <row r="151" spans="1:17" x14ac:dyDescent="0.3">
      <c r="A151" s="1">
        <v>45995</v>
      </c>
      <c r="B151" s="1" t="str">
        <f t="shared" si="8"/>
        <v>Thursday</v>
      </c>
      <c r="C151" s="1" t="str">
        <f t="shared" si="9"/>
        <v>Q4</v>
      </c>
      <c r="D151" s="1" t="str">
        <f t="shared" si="10"/>
        <v>Dec</v>
      </c>
      <c r="E151" s="1" t="str">
        <f t="shared" si="11"/>
        <v>2025</v>
      </c>
      <c r="F151" t="s">
        <v>13</v>
      </c>
      <c r="G151" s="3">
        <v>2188</v>
      </c>
      <c r="H151" s="3">
        <v>2231.6999999999998</v>
      </c>
      <c r="I151" s="3">
        <v>2183.4</v>
      </c>
      <c r="J151" s="3">
        <v>2189.8000000000002</v>
      </c>
      <c r="K151" s="3">
        <v>2216.8000000000002</v>
      </c>
      <c r="L151" s="3">
        <v>2217.9</v>
      </c>
      <c r="M151" s="3">
        <v>2212.67</v>
      </c>
      <c r="N151" s="3">
        <v>2695</v>
      </c>
      <c r="O151" s="3">
        <v>2026.55</v>
      </c>
      <c r="P151" s="3">
        <v>2522821</v>
      </c>
      <c r="Q151" s="3">
        <v>67347</v>
      </c>
    </row>
    <row r="152" spans="1:17" x14ac:dyDescent="0.3">
      <c r="A152" s="1">
        <v>45994</v>
      </c>
      <c r="B152" s="1" t="str">
        <f t="shared" si="8"/>
        <v>Wednesday</v>
      </c>
      <c r="C152" s="1" t="str">
        <f t="shared" si="9"/>
        <v>Q4</v>
      </c>
      <c r="D152" s="1" t="str">
        <f t="shared" si="10"/>
        <v>Dec</v>
      </c>
      <c r="E152" s="1" t="str">
        <f t="shared" si="11"/>
        <v>2025</v>
      </c>
      <c r="F152" t="s">
        <v>13</v>
      </c>
      <c r="G152" s="3">
        <v>2240</v>
      </c>
      <c r="H152" s="3">
        <v>2245</v>
      </c>
      <c r="I152" s="3">
        <v>2172.1999999999998</v>
      </c>
      <c r="J152" s="3">
        <v>2239.6</v>
      </c>
      <c r="K152" s="3">
        <v>2191.6</v>
      </c>
      <c r="L152" s="3">
        <v>2189.8000000000002</v>
      </c>
      <c r="M152" s="3">
        <v>2204.17</v>
      </c>
      <c r="N152" s="3">
        <v>2695</v>
      </c>
      <c r="O152" s="3">
        <v>2026.55</v>
      </c>
      <c r="P152" s="3">
        <v>1643852</v>
      </c>
      <c r="Q152" s="3">
        <v>63240</v>
      </c>
    </row>
    <row r="153" spans="1:17" x14ac:dyDescent="0.3">
      <c r="A153" s="1">
        <v>45993</v>
      </c>
      <c r="B153" s="1" t="str">
        <f t="shared" si="8"/>
        <v>Tuesday</v>
      </c>
      <c r="C153" s="1" t="str">
        <f t="shared" si="9"/>
        <v>Q4</v>
      </c>
      <c r="D153" s="1" t="str">
        <f t="shared" si="10"/>
        <v>Dec</v>
      </c>
      <c r="E153" s="1" t="str">
        <f t="shared" si="11"/>
        <v>2025</v>
      </c>
      <c r="F153" t="s">
        <v>13</v>
      </c>
      <c r="G153" s="3">
        <v>2255</v>
      </c>
      <c r="H153" s="3">
        <v>2267.1999999999998</v>
      </c>
      <c r="I153" s="3">
        <v>2232.1999999999998</v>
      </c>
      <c r="J153" s="3">
        <v>2262</v>
      </c>
      <c r="K153" s="3">
        <v>2239</v>
      </c>
      <c r="L153" s="3">
        <v>2239.6</v>
      </c>
      <c r="M153" s="3">
        <v>2244.6</v>
      </c>
      <c r="N153" s="3">
        <v>2695</v>
      </c>
      <c r="O153" s="3">
        <v>2026.55</v>
      </c>
      <c r="P153" s="3">
        <v>1035354</v>
      </c>
      <c r="Q153" s="3">
        <v>46209</v>
      </c>
    </row>
    <row r="154" spans="1:17" x14ac:dyDescent="0.3">
      <c r="A154" s="1">
        <v>45992</v>
      </c>
      <c r="B154" s="1" t="str">
        <f t="shared" si="8"/>
        <v>Monday</v>
      </c>
      <c r="C154" s="1" t="str">
        <f t="shared" si="9"/>
        <v>Q4</v>
      </c>
      <c r="D154" s="1" t="str">
        <f t="shared" si="10"/>
        <v>Dec</v>
      </c>
      <c r="E154" s="1" t="str">
        <f t="shared" si="11"/>
        <v>2025</v>
      </c>
      <c r="F154" t="s">
        <v>13</v>
      </c>
      <c r="G154" s="3">
        <v>2300</v>
      </c>
      <c r="H154" s="3">
        <v>2304</v>
      </c>
      <c r="I154" s="3">
        <v>2257</v>
      </c>
      <c r="J154" s="3">
        <v>2280.1999999999998</v>
      </c>
      <c r="K154" s="3">
        <v>2259.9</v>
      </c>
      <c r="L154" s="3">
        <v>2262</v>
      </c>
      <c r="M154" s="3">
        <v>2277.13</v>
      </c>
      <c r="N154" s="3">
        <v>2695</v>
      </c>
      <c r="O154" s="3">
        <v>2026.55</v>
      </c>
      <c r="P154" s="3">
        <v>1313265</v>
      </c>
      <c r="Q154" s="3">
        <v>42480</v>
      </c>
    </row>
    <row r="155" spans="1:17" x14ac:dyDescent="0.3">
      <c r="A155" s="1">
        <v>45989</v>
      </c>
      <c r="B155" s="1" t="str">
        <f t="shared" si="8"/>
        <v>Friday</v>
      </c>
      <c r="C155" s="1" t="str">
        <f t="shared" si="9"/>
        <v>Q4</v>
      </c>
      <c r="D155" s="1" t="str">
        <f t="shared" si="10"/>
        <v>Nov</v>
      </c>
      <c r="E155" s="1" t="str">
        <f t="shared" si="11"/>
        <v>2025</v>
      </c>
      <c r="F155" t="s">
        <v>13</v>
      </c>
      <c r="G155" s="3">
        <v>2267.1</v>
      </c>
      <c r="H155" s="3">
        <v>2331</v>
      </c>
      <c r="I155" s="3">
        <v>2247.8000000000002</v>
      </c>
      <c r="J155" s="3">
        <v>2255</v>
      </c>
      <c r="K155" s="3">
        <v>2282</v>
      </c>
      <c r="L155" s="3">
        <v>2280.1999999999998</v>
      </c>
      <c r="M155" s="3">
        <v>2295.96</v>
      </c>
      <c r="N155" s="3">
        <v>2695</v>
      </c>
      <c r="O155" s="3">
        <v>2026.55</v>
      </c>
      <c r="P155" s="3">
        <v>3037620</v>
      </c>
      <c r="Q155" s="3">
        <v>86014</v>
      </c>
    </row>
    <row r="156" spans="1:17" x14ac:dyDescent="0.3">
      <c r="A156" s="1">
        <v>45988</v>
      </c>
      <c r="B156" s="1" t="str">
        <f t="shared" si="8"/>
        <v>Thursday</v>
      </c>
      <c r="C156" s="1" t="str">
        <f t="shared" si="9"/>
        <v>Q4</v>
      </c>
      <c r="D156" s="1" t="str">
        <f t="shared" si="10"/>
        <v>Nov</v>
      </c>
      <c r="E156" s="1" t="str">
        <f t="shared" si="11"/>
        <v>2025</v>
      </c>
      <c r="F156" t="s">
        <v>13</v>
      </c>
      <c r="G156" s="3">
        <v>2310</v>
      </c>
      <c r="H156" s="3">
        <v>2320.5</v>
      </c>
      <c r="I156" s="3">
        <v>2243</v>
      </c>
      <c r="J156" s="3">
        <v>2315</v>
      </c>
      <c r="K156" s="3">
        <v>2249</v>
      </c>
      <c r="L156" s="3">
        <v>2255</v>
      </c>
      <c r="M156" s="3">
        <v>2283.0700000000002</v>
      </c>
      <c r="N156" s="3">
        <v>2695</v>
      </c>
      <c r="O156" s="3">
        <v>2026.55</v>
      </c>
      <c r="P156" s="3">
        <v>1474038</v>
      </c>
      <c r="Q156" s="3">
        <v>61990</v>
      </c>
    </row>
    <row r="157" spans="1:17" x14ac:dyDescent="0.3">
      <c r="A157" s="1">
        <v>45987</v>
      </c>
      <c r="B157" s="1" t="str">
        <f t="shared" si="8"/>
        <v>Wednesday</v>
      </c>
      <c r="C157" s="1" t="str">
        <f t="shared" si="9"/>
        <v>Q4</v>
      </c>
      <c r="D157" s="1" t="str">
        <f t="shared" si="10"/>
        <v>Nov</v>
      </c>
      <c r="E157" s="1" t="str">
        <f t="shared" si="11"/>
        <v>2025</v>
      </c>
      <c r="F157" t="s">
        <v>13</v>
      </c>
      <c r="G157" s="3">
        <v>2321.1999999999998</v>
      </c>
      <c r="H157" s="3">
        <v>2357</v>
      </c>
      <c r="I157" s="3">
        <v>2310</v>
      </c>
      <c r="J157" s="3">
        <v>2332.9</v>
      </c>
      <c r="K157" s="3">
        <v>2313.9</v>
      </c>
      <c r="L157" s="3">
        <v>2315</v>
      </c>
      <c r="M157" s="3">
        <v>2334.9499999999998</v>
      </c>
      <c r="N157" s="3">
        <v>2695</v>
      </c>
      <c r="O157" s="3">
        <v>2026.55</v>
      </c>
      <c r="P157" s="3">
        <v>1026965</v>
      </c>
      <c r="Q157" s="3">
        <v>47392</v>
      </c>
    </row>
    <row r="158" spans="1:17" x14ac:dyDescent="0.3">
      <c r="A158" s="1">
        <v>45986</v>
      </c>
      <c r="B158" s="1" t="str">
        <f t="shared" si="8"/>
        <v>Tuesday</v>
      </c>
      <c r="C158" s="1" t="str">
        <f t="shared" si="9"/>
        <v>Q4</v>
      </c>
      <c r="D158" s="1" t="str">
        <f t="shared" si="10"/>
        <v>Nov</v>
      </c>
      <c r="E158" s="1" t="str">
        <f t="shared" si="11"/>
        <v>2025</v>
      </c>
      <c r="F158" t="s">
        <v>13</v>
      </c>
      <c r="G158" s="3">
        <v>2400.9</v>
      </c>
      <c r="H158" s="3">
        <v>2407.6999999999998</v>
      </c>
      <c r="I158" s="3">
        <v>2325.3000000000002</v>
      </c>
      <c r="J158" s="3">
        <v>2399.1999999999998</v>
      </c>
      <c r="K158" s="3">
        <v>2329.4</v>
      </c>
      <c r="L158" s="3">
        <v>2332.9</v>
      </c>
      <c r="M158" s="3">
        <v>2364.69</v>
      </c>
      <c r="N158" s="3">
        <v>2695</v>
      </c>
      <c r="O158" s="3">
        <v>2026.55</v>
      </c>
      <c r="P158" s="3">
        <v>2223715</v>
      </c>
      <c r="Q158" s="3">
        <v>69285</v>
      </c>
    </row>
    <row r="159" spans="1:17" x14ac:dyDescent="0.3">
      <c r="A159" s="1">
        <v>45985</v>
      </c>
      <c r="B159" s="1" t="str">
        <f t="shared" si="8"/>
        <v>Monday</v>
      </c>
      <c r="C159" s="1" t="str">
        <f t="shared" si="9"/>
        <v>Q4</v>
      </c>
      <c r="D159" s="1" t="str">
        <f t="shared" si="10"/>
        <v>Nov</v>
      </c>
      <c r="E159" s="1" t="str">
        <f t="shared" si="11"/>
        <v>2025</v>
      </c>
      <c r="F159" t="s">
        <v>13</v>
      </c>
      <c r="G159" s="3">
        <v>2426.1999999999998</v>
      </c>
      <c r="H159" s="3">
        <v>2432.3000000000002</v>
      </c>
      <c r="I159" s="3">
        <v>2393.1</v>
      </c>
      <c r="J159" s="3">
        <v>2422.3000000000002</v>
      </c>
      <c r="K159" s="3">
        <v>2398.9</v>
      </c>
      <c r="L159" s="3">
        <v>2399.1999999999998</v>
      </c>
      <c r="M159" s="3">
        <v>2409.75</v>
      </c>
      <c r="N159" s="3">
        <v>2695</v>
      </c>
      <c r="O159" s="3">
        <v>2026.55</v>
      </c>
      <c r="P159" s="3">
        <v>691419</v>
      </c>
      <c r="Q159" s="3">
        <v>32464</v>
      </c>
    </row>
    <row r="160" spans="1:17" x14ac:dyDescent="0.3">
      <c r="A160" s="1">
        <v>45982</v>
      </c>
      <c r="B160" s="1" t="str">
        <f t="shared" si="8"/>
        <v>Friday</v>
      </c>
      <c r="C160" s="1" t="str">
        <f t="shared" si="9"/>
        <v>Q4</v>
      </c>
      <c r="D160" s="1" t="str">
        <f t="shared" si="10"/>
        <v>Nov</v>
      </c>
      <c r="E160" s="1" t="str">
        <f t="shared" si="11"/>
        <v>2025</v>
      </c>
      <c r="F160" t="s">
        <v>13</v>
      </c>
      <c r="G160" s="3">
        <v>2450</v>
      </c>
      <c r="H160" s="3">
        <v>2456.1999999999998</v>
      </c>
      <c r="I160" s="3">
        <v>2418</v>
      </c>
      <c r="J160" s="3">
        <v>2446.1</v>
      </c>
      <c r="K160" s="3">
        <v>2419</v>
      </c>
      <c r="L160" s="3">
        <v>2422.3000000000002</v>
      </c>
      <c r="M160" s="3">
        <v>2433.91</v>
      </c>
      <c r="N160" s="3">
        <v>2894.8</v>
      </c>
      <c r="O160" s="3">
        <v>2025</v>
      </c>
      <c r="P160" s="3">
        <v>547541</v>
      </c>
      <c r="Q160" s="3">
        <v>23006</v>
      </c>
    </row>
    <row r="161" spans="1:17" x14ac:dyDescent="0.3">
      <c r="A161" s="1">
        <v>45981</v>
      </c>
      <c r="B161" s="1" t="str">
        <f t="shared" si="8"/>
        <v>Thursday</v>
      </c>
      <c r="C161" s="1" t="str">
        <f t="shared" si="9"/>
        <v>Q4</v>
      </c>
      <c r="D161" s="1" t="str">
        <f t="shared" si="10"/>
        <v>Nov</v>
      </c>
      <c r="E161" s="1" t="str">
        <f t="shared" si="11"/>
        <v>2025</v>
      </c>
      <c r="F161" t="s">
        <v>13</v>
      </c>
      <c r="G161" s="3">
        <v>2450.1</v>
      </c>
      <c r="H161" s="3">
        <v>2478.9</v>
      </c>
      <c r="I161" s="3">
        <v>2440.4</v>
      </c>
      <c r="J161" s="3">
        <v>2433.1</v>
      </c>
      <c r="K161" s="3">
        <v>2448</v>
      </c>
      <c r="L161" s="3">
        <v>2446.1</v>
      </c>
      <c r="M161" s="3">
        <v>2456.6799999999998</v>
      </c>
      <c r="N161" s="3">
        <v>2894.8</v>
      </c>
      <c r="O161" s="3">
        <v>2025</v>
      </c>
      <c r="P161" s="3">
        <v>1526556</v>
      </c>
      <c r="Q161" s="3">
        <v>49383</v>
      </c>
    </row>
    <row r="162" spans="1:17" x14ac:dyDescent="0.3">
      <c r="A162" s="1">
        <v>45980</v>
      </c>
      <c r="B162" s="1" t="str">
        <f t="shared" si="8"/>
        <v>Wednesday</v>
      </c>
      <c r="C162" s="1" t="str">
        <f t="shared" si="9"/>
        <v>Q4</v>
      </c>
      <c r="D162" s="1" t="str">
        <f t="shared" si="10"/>
        <v>Nov</v>
      </c>
      <c r="E162" s="1" t="str">
        <f t="shared" si="11"/>
        <v>2025</v>
      </c>
      <c r="F162" t="s">
        <v>13</v>
      </c>
      <c r="G162" s="3">
        <v>2446.5</v>
      </c>
      <c r="H162" s="3">
        <v>2449.9</v>
      </c>
      <c r="I162" s="3">
        <v>2413.9</v>
      </c>
      <c r="J162" s="3">
        <v>2436.8000000000002</v>
      </c>
      <c r="K162" s="3">
        <v>2431</v>
      </c>
      <c r="L162" s="3">
        <v>2433.1</v>
      </c>
      <c r="M162" s="3">
        <v>2432.6</v>
      </c>
      <c r="N162" s="3">
        <v>2894.8</v>
      </c>
      <c r="O162" s="3">
        <v>2025</v>
      </c>
      <c r="P162" s="3">
        <v>774785</v>
      </c>
      <c r="Q162" s="3">
        <v>29152</v>
      </c>
    </row>
    <row r="163" spans="1:17" x14ac:dyDescent="0.3">
      <c r="A163" s="1">
        <v>45979</v>
      </c>
      <c r="B163" s="1" t="str">
        <f t="shared" si="8"/>
        <v>Tuesday</v>
      </c>
      <c r="C163" s="1" t="str">
        <f t="shared" si="9"/>
        <v>Q4</v>
      </c>
      <c r="D163" s="1" t="str">
        <f t="shared" si="10"/>
        <v>Nov</v>
      </c>
      <c r="E163" s="1" t="str">
        <f t="shared" si="11"/>
        <v>2025</v>
      </c>
      <c r="F163" t="s">
        <v>13</v>
      </c>
      <c r="G163" s="3">
        <v>2462</v>
      </c>
      <c r="H163" s="3">
        <v>2478.6</v>
      </c>
      <c r="I163" s="3">
        <v>2434.3000000000002</v>
      </c>
      <c r="J163" s="3">
        <v>2462</v>
      </c>
      <c r="K163" s="3">
        <v>2439</v>
      </c>
      <c r="L163" s="3">
        <v>2436.8000000000002</v>
      </c>
      <c r="M163" s="3">
        <v>2448.31</v>
      </c>
      <c r="N163" s="3">
        <v>2894.8</v>
      </c>
      <c r="O163" s="3">
        <v>2025</v>
      </c>
      <c r="P163" s="3">
        <v>1245215</v>
      </c>
      <c r="Q163" s="3">
        <v>33053</v>
      </c>
    </row>
    <row r="164" spans="1:17" x14ac:dyDescent="0.3">
      <c r="A164" s="1">
        <v>45978</v>
      </c>
      <c r="B164" s="1" t="str">
        <f t="shared" si="8"/>
        <v>Monday</v>
      </c>
      <c r="C164" s="1" t="str">
        <f t="shared" si="9"/>
        <v>Q4</v>
      </c>
      <c r="D164" s="1" t="str">
        <f t="shared" si="10"/>
        <v>Nov</v>
      </c>
      <c r="E164" s="1" t="str">
        <f t="shared" si="11"/>
        <v>2025</v>
      </c>
      <c r="F164" t="s">
        <v>13</v>
      </c>
      <c r="G164" s="3">
        <v>2460</v>
      </c>
      <c r="H164" s="3">
        <v>2474.9</v>
      </c>
      <c r="I164" s="3">
        <v>2421</v>
      </c>
      <c r="J164" s="3">
        <v>2516.8000000000002</v>
      </c>
      <c r="K164" s="3">
        <v>2466.8000000000002</v>
      </c>
      <c r="L164" s="3">
        <v>2462</v>
      </c>
      <c r="M164" s="3">
        <v>2448.66</v>
      </c>
      <c r="N164" s="3">
        <v>2894.8</v>
      </c>
      <c r="O164" s="3">
        <v>2025</v>
      </c>
      <c r="P164" s="3">
        <v>2672697</v>
      </c>
      <c r="Q164" s="3">
        <v>64529</v>
      </c>
    </row>
    <row r="165" spans="1:17" x14ac:dyDescent="0.3">
      <c r="A165" s="1">
        <v>45975</v>
      </c>
      <c r="B165" s="1" t="str">
        <f t="shared" si="8"/>
        <v>Friday</v>
      </c>
      <c r="C165" s="1" t="str">
        <f t="shared" si="9"/>
        <v>Q4</v>
      </c>
      <c r="D165" s="1" t="str">
        <f t="shared" si="10"/>
        <v>Nov</v>
      </c>
      <c r="E165" s="1" t="str">
        <f t="shared" si="11"/>
        <v>2025</v>
      </c>
      <c r="F165" t="s">
        <v>13</v>
      </c>
      <c r="G165" s="3">
        <v>2500</v>
      </c>
      <c r="H165" s="3">
        <v>2553.6999999999998</v>
      </c>
      <c r="I165" s="3">
        <v>2481</v>
      </c>
      <c r="J165" s="3">
        <v>2488.1999999999998</v>
      </c>
      <c r="K165" s="3">
        <v>2524.1</v>
      </c>
      <c r="L165" s="3">
        <v>2516.8000000000002</v>
      </c>
      <c r="M165" s="3">
        <v>2524.48</v>
      </c>
      <c r="N165" s="3">
        <v>2946.8</v>
      </c>
      <c r="O165" s="3">
        <v>2025</v>
      </c>
      <c r="P165" s="3">
        <v>4496233</v>
      </c>
      <c r="Q165" s="3">
        <v>98231</v>
      </c>
    </row>
    <row r="166" spans="1:17" x14ac:dyDescent="0.3">
      <c r="A166" s="1">
        <v>45974</v>
      </c>
      <c r="B166" s="1" t="str">
        <f t="shared" si="8"/>
        <v>Thursday</v>
      </c>
      <c r="C166" s="1" t="str">
        <f t="shared" si="9"/>
        <v>Q4</v>
      </c>
      <c r="D166" s="1" t="str">
        <f t="shared" si="10"/>
        <v>Nov</v>
      </c>
      <c r="E166" s="1" t="str">
        <f t="shared" si="11"/>
        <v>2025</v>
      </c>
      <c r="F166" t="s">
        <v>13</v>
      </c>
      <c r="G166" s="3">
        <v>2502</v>
      </c>
      <c r="H166" s="3">
        <v>2525</v>
      </c>
      <c r="I166" s="3">
        <v>2468.1</v>
      </c>
      <c r="J166" s="3">
        <v>2484.5</v>
      </c>
      <c r="K166" s="3">
        <v>2488</v>
      </c>
      <c r="L166" s="3">
        <v>2488.1999999999998</v>
      </c>
      <c r="M166" s="3">
        <v>2495.2600000000002</v>
      </c>
      <c r="N166" s="3">
        <v>2946.8</v>
      </c>
      <c r="O166" s="3">
        <v>2025</v>
      </c>
      <c r="P166" s="3">
        <v>2706326</v>
      </c>
      <c r="Q166" s="3">
        <v>69562</v>
      </c>
    </row>
    <row r="167" spans="1:17" x14ac:dyDescent="0.3">
      <c r="A167" s="1">
        <v>45973</v>
      </c>
      <c r="B167" s="1" t="str">
        <f t="shared" si="8"/>
        <v>Wednesday</v>
      </c>
      <c r="C167" s="1" t="str">
        <f t="shared" si="9"/>
        <v>Q4</v>
      </c>
      <c r="D167" s="1" t="str">
        <f t="shared" si="10"/>
        <v>Nov</v>
      </c>
      <c r="E167" s="1" t="str">
        <f t="shared" si="11"/>
        <v>2025</v>
      </c>
      <c r="F167" t="s">
        <v>13</v>
      </c>
      <c r="G167" s="3">
        <v>2384</v>
      </c>
      <c r="H167" s="3">
        <v>2517.5</v>
      </c>
      <c r="I167" s="3">
        <v>2361</v>
      </c>
      <c r="J167" s="3">
        <v>2366.8000000000002</v>
      </c>
      <c r="K167" s="3">
        <v>2485.1999999999998</v>
      </c>
      <c r="L167" s="3">
        <v>2484.5</v>
      </c>
      <c r="M167" s="3">
        <v>2468.19</v>
      </c>
      <c r="N167" s="3">
        <v>2946.8</v>
      </c>
      <c r="O167" s="3">
        <v>2025</v>
      </c>
      <c r="P167" s="3">
        <v>6685426</v>
      </c>
      <c r="Q167" s="3">
        <v>166963</v>
      </c>
    </row>
    <row r="168" spans="1:17" x14ac:dyDescent="0.3">
      <c r="A168" s="1">
        <v>45972</v>
      </c>
      <c r="B168" s="1" t="str">
        <f t="shared" si="8"/>
        <v>Tuesday</v>
      </c>
      <c r="C168" s="1" t="str">
        <f t="shared" si="9"/>
        <v>Q4</v>
      </c>
      <c r="D168" s="1" t="str">
        <f t="shared" si="10"/>
        <v>Nov</v>
      </c>
      <c r="E168" s="1" t="str">
        <f t="shared" si="11"/>
        <v>2025</v>
      </c>
      <c r="F168" t="s">
        <v>13</v>
      </c>
      <c r="G168" s="3">
        <v>2368</v>
      </c>
      <c r="H168" s="3">
        <v>2378.9</v>
      </c>
      <c r="I168" s="3">
        <v>2338.5</v>
      </c>
      <c r="J168" s="3">
        <v>2370.6999999999998</v>
      </c>
      <c r="K168" s="3">
        <v>2370.1999999999998</v>
      </c>
      <c r="L168" s="3">
        <v>2366.8000000000002</v>
      </c>
      <c r="M168" s="3">
        <v>2359.2800000000002</v>
      </c>
      <c r="N168" s="3">
        <v>2946.8</v>
      </c>
      <c r="O168" s="3">
        <v>2025</v>
      </c>
      <c r="P168" s="3">
        <v>634172</v>
      </c>
      <c r="Q168" s="3">
        <v>33161</v>
      </c>
    </row>
    <row r="169" spans="1:17" x14ac:dyDescent="0.3">
      <c r="A169" s="1">
        <v>45971</v>
      </c>
      <c r="B169" s="1" t="str">
        <f t="shared" si="8"/>
        <v>Monday</v>
      </c>
      <c r="C169" s="1" t="str">
        <f t="shared" si="9"/>
        <v>Q4</v>
      </c>
      <c r="D169" s="1" t="str">
        <f t="shared" si="10"/>
        <v>Nov</v>
      </c>
      <c r="E169" s="1" t="str">
        <f t="shared" si="11"/>
        <v>2025</v>
      </c>
      <c r="F169" t="s">
        <v>13</v>
      </c>
      <c r="G169" s="3">
        <v>2380.9</v>
      </c>
      <c r="H169" s="3">
        <v>2388</v>
      </c>
      <c r="I169" s="3">
        <v>2364</v>
      </c>
      <c r="J169" s="3">
        <v>2369.4</v>
      </c>
      <c r="K169" s="3">
        <v>2365</v>
      </c>
      <c r="L169" s="3">
        <v>2370.6999999999998</v>
      </c>
      <c r="M169" s="3">
        <v>2374.4299999999998</v>
      </c>
      <c r="N169" s="3">
        <v>2946.8</v>
      </c>
      <c r="O169" s="3">
        <v>2025</v>
      </c>
      <c r="P169" s="3">
        <v>559808</v>
      </c>
      <c r="Q169" s="3">
        <v>30696</v>
      </c>
    </row>
    <row r="170" spans="1:17" x14ac:dyDescent="0.3">
      <c r="A170" s="1">
        <v>45968</v>
      </c>
      <c r="B170" s="1" t="str">
        <f t="shared" si="8"/>
        <v>Friday</v>
      </c>
      <c r="C170" s="1" t="str">
        <f t="shared" si="9"/>
        <v>Q4</v>
      </c>
      <c r="D170" s="1" t="str">
        <f t="shared" si="10"/>
        <v>Nov</v>
      </c>
      <c r="E170" s="1" t="str">
        <f t="shared" si="11"/>
        <v>2025</v>
      </c>
      <c r="F170" t="s">
        <v>13</v>
      </c>
      <c r="G170" s="3">
        <v>2315</v>
      </c>
      <c r="H170" s="3">
        <v>2402.5</v>
      </c>
      <c r="I170" s="3">
        <v>2291.4</v>
      </c>
      <c r="J170" s="3">
        <v>2314.3000000000002</v>
      </c>
      <c r="K170" s="3">
        <v>2374.8000000000002</v>
      </c>
      <c r="L170" s="3">
        <v>2369.4</v>
      </c>
      <c r="M170" s="3">
        <v>2362.9899999999998</v>
      </c>
      <c r="N170" s="3">
        <v>3070</v>
      </c>
      <c r="O170" s="3">
        <v>2025</v>
      </c>
      <c r="P170" s="3">
        <v>2232889</v>
      </c>
      <c r="Q170" s="3">
        <v>69168</v>
      </c>
    </row>
    <row r="171" spans="1:17" x14ac:dyDescent="0.3">
      <c r="A171" s="1">
        <v>45967</v>
      </c>
      <c r="B171" s="1" t="str">
        <f t="shared" si="8"/>
        <v>Thursday</v>
      </c>
      <c r="C171" s="1" t="str">
        <f t="shared" si="9"/>
        <v>Q4</v>
      </c>
      <c r="D171" s="1" t="str">
        <f t="shared" si="10"/>
        <v>Nov</v>
      </c>
      <c r="E171" s="1" t="str">
        <f t="shared" si="11"/>
        <v>2025</v>
      </c>
      <c r="F171" t="s">
        <v>13</v>
      </c>
      <c r="G171" s="3">
        <v>2425.1</v>
      </c>
      <c r="H171" s="3">
        <v>2427.1</v>
      </c>
      <c r="I171" s="3">
        <v>2307.6</v>
      </c>
      <c r="J171" s="3">
        <v>2419.8000000000002</v>
      </c>
      <c r="K171" s="3">
        <v>2311</v>
      </c>
      <c r="L171" s="3">
        <v>2314.3000000000002</v>
      </c>
      <c r="M171" s="3">
        <v>2346.4</v>
      </c>
      <c r="N171" s="3">
        <v>3070</v>
      </c>
      <c r="O171" s="3">
        <v>2025</v>
      </c>
      <c r="P171" s="3">
        <v>1978147</v>
      </c>
      <c r="Q171" s="3">
        <v>87565</v>
      </c>
    </row>
    <row r="172" spans="1:17" x14ac:dyDescent="0.3">
      <c r="A172" s="1">
        <v>45965</v>
      </c>
      <c r="B172" s="1" t="str">
        <f t="shared" si="8"/>
        <v>Tuesday</v>
      </c>
      <c r="C172" s="1" t="str">
        <f t="shared" si="9"/>
        <v>Q4</v>
      </c>
      <c r="D172" s="1" t="str">
        <f t="shared" si="10"/>
        <v>Nov</v>
      </c>
      <c r="E172" s="1" t="str">
        <f t="shared" si="11"/>
        <v>2025</v>
      </c>
      <c r="F172" t="s">
        <v>13</v>
      </c>
      <c r="G172" s="3">
        <v>2479.8000000000002</v>
      </c>
      <c r="H172" s="3">
        <v>2488.9</v>
      </c>
      <c r="I172" s="3">
        <v>2390.6</v>
      </c>
      <c r="J172" s="3">
        <v>2467</v>
      </c>
      <c r="K172" s="3">
        <v>2399.9</v>
      </c>
      <c r="L172" s="3">
        <v>2419.8000000000002</v>
      </c>
      <c r="M172" s="3">
        <v>2433.37</v>
      </c>
      <c r="N172" s="3">
        <v>3070</v>
      </c>
      <c r="O172" s="3">
        <v>2025</v>
      </c>
      <c r="P172" s="3">
        <v>2072668</v>
      </c>
      <c r="Q172" s="3">
        <v>77117</v>
      </c>
    </row>
    <row r="173" spans="1:17" x14ac:dyDescent="0.3">
      <c r="A173" s="1">
        <v>45964</v>
      </c>
      <c r="B173" s="1" t="str">
        <f t="shared" si="8"/>
        <v>Monday</v>
      </c>
      <c r="C173" s="1" t="str">
        <f t="shared" si="9"/>
        <v>Q4</v>
      </c>
      <c r="D173" s="1" t="str">
        <f t="shared" si="10"/>
        <v>Nov</v>
      </c>
      <c r="E173" s="1" t="str">
        <f t="shared" si="11"/>
        <v>2025</v>
      </c>
      <c r="F173" t="s">
        <v>13</v>
      </c>
      <c r="G173" s="3">
        <v>2484</v>
      </c>
      <c r="H173" s="3">
        <v>2501.9</v>
      </c>
      <c r="I173" s="3">
        <v>2457.5</v>
      </c>
      <c r="J173" s="3">
        <v>2481</v>
      </c>
      <c r="K173" s="3">
        <v>2469.5</v>
      </c>
      <c r="L173" s="3">
        <v>2467</v>
      </c>
      <c r="M173" s="3">
        <v>2476.6</v>
      </c>
      <c r="N173" s="3">
        <v>3070</v>
      </c>
      <c r="O173" s="3">
        <v>2025</v>
      </c>
      <c r="P173" s="3">
        <v>731108</v>
      </c>
      <c r="Q173" s="3">
        <v>36644</v>
      </c>
    </row>
    <row r="174" spans="1:17" x14ac:dyDescent="0.3">
      <c r="A174" s="1">
        <v>45961</v>
      </c>
      <c r="B174" s="1" t="str">
        <f t="shared" si="8"/>
        <v>Friday</v>
      </c>
      <c r="C174" s="1" t="str">
        <f t="shared" si="9"/>
        <v>Q4</v>
      </c>
      <c r="D174" s="1" t="str">
        <f t="shared" si="10"/>
        <v>Oct</v>
      </c>
      <c r="E174" s="1" t="str">
        <f t="shared" si="11"/>
        <v>2025</v>
      </c>
      <c r="F174" t="s">
        <v>13</v>
      </c>
      <c r="G174" s="3">
        <v>2535</v>
      </c>
      <c r="H174" s="3">
        <v>2543.5</v>
      </c>
      <c r="I174" s="3">
        <v>2464.9</v>
      </c>
      <c r="J174" s="3">
        <v>2526.9</v>
      </c>
      <c r="K174" s="3">
        <v>2474.9</v>
      </c>
      <c r="L174" s="3">
        <v>2481</v>
      </c>
      <c r="M174" s="3">
        <v>2506.83</v>
      </c>
      <c r="N174" s="3">
        <v>3070</v>
      </c>
      <c r="O174" s="3">
        <v>2025</v>
      </c>
      <c r="P174" s="3">
        <v>848642</v>
      </c>
      <c r="Q174" s="3">
        <v>36750</v>
      </c>
    </row>
    <row r="175" spans="1:17" x14ac:dyDescent="0.3">
      <c r="A175" s="1">
        <v>45960</v>
      </c>
      <c r="B175" s="1" t="str">
        <f t="shared" si="8"/>
        <v>Thursday</v>
      </c>
      <c r="C175" s="1" t="str">
        <f t="shared" si="9"/>
        <v>Q4</v>
      </c>
      <c r="D175" s="1" t="str">
        <f t="shared" si="10"/>
        <v>Oct</v>
      </c>
      <c r="E175" s="1" t="str">
        <f t="shared" si="11"/>
        <v>2025</v>
      </c>
      <c r="F175" t="s">
        <v>13</v>
      </c>
      <c r="G175" s="3">
        <v>2550</v>
      </c>
      <c r="H175" s="3">
        <v>2559.4</v>
      </c>
      <c r="I175" s="3">
        <v>2511.8000000000002</v>
      </c>
      <c r="J175" s="3">
        <v>2537.4</v>
      </c>
      <c r="K175" s="3">
        <v>2528.8000000000002</v>
      </c>
      <c r="L175" s="3">
        <v>2526.9</v>
      </c>
      <c r="M175" s="3">
        <v>2533.16</v>
      </c>
      <c r="N175" s="3">
        <v>3070</v>
      </c>
      <c r="O175" s="3">
        <v>2025</v>
      </c>
      <c r="P175" s="3">
        <v>783328</v>
      </c>
      <c r="Q175" s="3">
        <v>30911</v>
      </c>
    </row>
    <row r="176" spans="1:17" x14ac:dyDescent="0.3">
      <c r="A176" s="1">
        <v>45959</v>
      </c>
      <c r="B176" s="1" t="str">
        <f t="shared" si="8"/>
        <v>Wednesday</v>
      </c>
      <c r="C176" s="1" t="str">
        <f t="shared" si="9"/>
        <v>Q4</v>
      </c>
      <c r="D176" s="1" t="str">
        <f t="shared" si="10"/>
        <v>Oct</v>
      </c>
      <c r="E176" s="1" t="str">
        <f t="shared" si="11"/>
        <v>2025</v>
      </c>
      <c r="F176" t="s">
        <v>13</v>
      </c>
      <c r="G176" s="3">
        <v>2500</v>
      </c>
      <c r="H176" s="3">
        <v>2600</v>
      </c>
      <c r="I176" s="3">
        <v>2495.5</v>
      </c>
      <c r="J176" s="3">
        <v>2494.4</v>
      </c>
      <c r="K176" s="3">
        <v>2553.5</v>
      </c>
      <c r="L176" s="3">
        <v>2537.4</v>
      </c>
      <c r="M176" s="3">
        <v>2557.11</v>
      </c>
      <c r="N176" s="3">
        <v>3070</v>
      </c>
      <c r="O176" s="3">
        <v>2025</v>
      </c>
      <c r="P176" s="3">
        <v>1526734</v>
      </c>
      <c r="Q176" s="3">
        <v>63774</v>
      </c>
    </row>
    <row r="177" spans="1:17" x14ac:dyDescent="0.3">
      <c r="A177" s="1">
        <v>45958</v>
      </c>
      <c r="B177" s="1" t="str">
        <f t="shared" si="8"/>
        <v>Tuesday</v>
      </c>
      <c r="C177" s="1" t="str">
        <f t="shared" si="9"/>
        <v>Q4</v>
      </c>
      <c r="D177" s="1" t="str">
        <f t="shared" si="10"/>
        <v>Oct</v>
      </c>
      <c r="E177" s="1" t="str">
        <f t="shared" si="11"/>
        <v>2025</v>
      </c>
      <c r="F177" t="s">
        <v>13</v>
      </c>
      <c r="G177" s="3">
        <v>2495</v>
      </c>
      <c r="H177" s="3">
        <v>2516</v>
      </c>
      <c r="I177" s="3">
        <v>2479.1</v>
      </c>
      <c r="J177" s="3">
        <v>2492.8000000000002</v>
      </c>
      <c r="K177" s="3">
        <v>2499</v>
      </c>
      <c r="L177" s="3">
        <v>2494.4</v>
      </c>
      <c r="M177" s="3">
        <v>2497.36</v>
      </c>
      <c r="N177" s="3">
        <v>3070</v>
      </c>
      <c r="O177" s="3">
        <v>2025</v>
      </c>
      <c r="P177" s="3">
        <v>626988</v>
      </c>
      <c r="Q177" s="3">
        <v>43588</v>
      </c>
    </row>
    <row r="178" spans="1:17" x14ac:dyDescent="0.3">
      <c r="A178" s="1">
        <v>45957</v>
      </c>
      <c r="B178" s="1" t="str">
        <f t="shared" si="8"/>
        <v>Monday</v>
      </c>
      <c r="C178" s="1" t="str">
        <f t="shared" si="9"/>
        <v>Q4</v>
      </c>
      <c r="D178" s="1" t="str">
        <f t="shared" si="10"/>
        <v>Oct</v>
      </c>
      <c r="E178" s="1" t="str">
        <f t="shared" si="11"/>
        <v>2025</v>
      </c>
      <c r="F178" t="s">
        <v>13</v>
      </c>
      <c r="G178" s="3">
        <v>2504.1999999999998</v>
      </c>
      <c r="H178" s="3">
        <v>2514.6</v>
      </c>
      <c r="I178" s="3">
        <v>2487.1</v>
      </c>
      <c r="J178" s="3">
        <v>2504.1999999999998</v>
      </c>
      <c r="K178" s="3">
        <v>2490</v>
      </c>
      <c r="L178" s="3">
        <v>2492.8000000000002</v>
      </c>
      <c r="M178" s="3">
        <v>2498.12</v>
      </c>
      <c r="N178" s="3">
        <v>3070</v>
      </c>
      <c r="O178" s="3">
        <v>2025</v>
      </c>
      <c r="P178" s="3">
        <v>478055</v>
      </c>
      <c r="Q178" s="3">
        <v>28241</v>
      </c>
    </row>
    <row r="179" spans="1:17" x14ac:dyDescent="0.3">
      <c r="A179" s="1">
        <v>45954</v>
      </c>
      <c r="B179" s="1" t="str">
        <f t="shared" si="8"/>
        <v>Friday</v>
      </c>
      <c r="C179" s="1" t="str">
        <f t="shared" si="9"/>
        <v>Q4</v>
      </c>
      <c r="D179" s="1" t="str">
        <f t="shared" si="10"/>
        <v>Oct</v>
      </c>
      <c r="E179" s="1" t="str">
        <f t="shared" si="11"/>
        <v>2025</v>
      </c>
      <c r="F179" t="s">
        <v>13</v>
      </c>
      <c r="G179" s="3">
        <v>2554.8000000000002</v>
      </c>
      <c r="H179" s="3">
        <v>2554.8000000000002</v>
      </c>
      <c r="I179" s="3">
        <v>2497.6999999999998</v>
      </c>
      <c r="J179" s="3">
        <v>2545.8000000000002</v>
      </c>
      <c r="K179" s="3">
        <v>2505.6999999999998</v>
      </c>
      <c r="L179" s="3">
        <v>2504.1999999999998</v>
      </c>
      <c r="M179" s="3">
        <v>2517.27</v>
      </c>
      <c r="N179" s="3">
        <v>3070</v>
      </c>
      <c r="O179" s="3">
        <v>2025</v>
      </c>
      <c r="P179" s="3">
        <v>473765</v>
      </c>
      <c r="Q179" s="3">
        <v>26841</v>
      </c>
    </row>
    <row r="180" spans="1:17" x14ac:dyDescent="0.3">
      <c r="A180" s="1">
        <v>45953</v>
      </c>
      <c r="B180" s="1" t="str">
        <f t="shared" si="8"/>
        <v>Thursday</v>
      </c>
      <c r="C180" s="1" t="str">
        <f t="shared" si="9"/>
        <v>Q4</v>
      </c>
      <c r="D180" s="1" t="str">
        <f t="shared" si="10"/>
        <v>Oct</v>
      </c>
      <c r="E180" s="1" t="str">
        <f t="shared" si="11"/>
        <v>2025</v>
      </c>
      <c r="F180" t="s">
        <v>13</v>
      </c>
      <c r="G180" s="3">
        <v>2559.9</v>
      </c>
      <c r="H180" s="3">
        <v>2577.8000000000002</v>
      </c>
      <c r="I180" s="3">
        <v>2540.9</v>
      </c>
      <c r="J180" s="3">
        <v>2549.9</v>
      </c>
      <c r="K180" s="3">
        <v>2544.9</v>
      </c>
      <c r="L180" s="3">
        <v>2545.8000000000002</v>
      </c>
      <c r="M180" s="3">
        <v>2561.59</v>
      </c>
      <c r="N180" s="3">
        <v>3070</v>
      </c>
      <c r="O180" s="3">
        <v>2025</v>
      </c>
      <c r="P180" s="3">
        <v>852445</v>
      </c>
      <c r="Q180" s="3">
        <v>28965</v>
      </c>
    </row>
    <row r="181" spans="1:17" x14ac:dyDescent="0.3">
      <c r="A181" s="1">
        <v>45951</v>
      </c>
      <c r="B181" s="1" t="str">
        <f t="shared" si="8"/>
        <v>Tuesday</v>
      </c>
      <c r="C181" s="1" t="str">
        <f t="shared" si="9"/>
        <v>Q4</v>
      </c>
      <c r="D181" s="1" t="str">
        <f t="shared" si="10"/>
        <v>Oct</v>
      </c>
      <c r="E181" s="1" t="str">
        <f t="shared" si="11"/>
        <v>2025</v>
      </c>
      <c r="F181" t="s">
        <v>13</v>
      </c>
      <c r="G181" s="3">
        <v>2554.9</v>
      </c>
      <c r="H181" s="3">
        <v>2562</v>
      </c>
      <c r="I181" s="3">
        <v>2542.3000000000002</v>
      </c>
      <c r="J181" s="3">
        <v>2548.1</v>
      </c>
      <c r="K181" s="3">
        <v>2548.5</v>
      </c>
      <c r="L181" s="3">
        <v>2549.9</v>
      </c>
      <c r="M181" s="3">
        <v>2552.61</v>
      </c>
      <c r="N181" s="3">
        <v>3070</v>
      </c>
      <c r="O181" s="3">
        <v>2025</v>
      </c>
      <c r="P181" s="3">
        <v>101019</v>
      </c>
      <c r="Q181" s="3">
        <v>5843</v>
      </c>
    </row>
    <row r="182" spans="1:17" x14ac:dyDescent="0.3">
      <c r="A182" s="1">
        <v>45950</v>
      </c>
      <c r="B182" s="1" t="str">
        <f t="shared" si="8"/>
        <v>Monday</v>
      </c>
      <c r="C182" s="1" t="str">
        <f t="shared" si="9"/>
        <v>Q4</v>
      </c>
      <c r="D182" s="1" t="str">
        <f t="shared" si="10"/>
        <v>Oct</v>
      </c>
      <c r="E182" s="1" t="str">
        <f t="shared" si="11"/>
        <v>2025</v>
      </c>
      <c r="F182" t="s">
        <v>13</v>
      </c>
      <c r="G182" s="3">
        <v>2561.3000000000002</v>
      </c>
      <c r="H182" s="3">
        <v>2579</v>
      </c>
      <c r="I182" s="3">
        <v>2537.1</v>
      </c>
      <c r="J182" s="3">
        <v>2549.4</v>
      </c>
      <c r="K182" s="3">
        <v>2550</v>
      </c>
      <c r="L182" s="3">
        <v>2548.1</v>
      </c>
      <c r="M182" s="3">
        <v>2555.35</v>
      </c>
      <c r="N182" s="3">
        <v>3070</v>
      </c>
      <c r="O182" s="3">
        <v>2025</v>
      </c>
      <c r="P182" s="3">
        <v>747349</v>
      </c>
      <c r="Q182" s="3">
        <v>36293</v>
      </c>
    </row>
    <row r="183" spans="1:17" x14ac:dyDescent="0.3">
      <c r="A183" s="1">
        <v>45947</v>
      </c>
      <c r="B183" s="1" t="str">
        <f t="shared" si="8"/>
        <v>Friday</v>
      </c>
      <c r="C183" s="1" t="str">
        <f t="shared" si="9"/>
        <v>Q4</v>
      </c>
      <c r="D183" s="1" t="str">
        <f t="shared" si="10"/>
        <v>Oct</v>
      </c>
      <c r="E183" s="1" t="str">
        <f t="shared" si="11"/>
        <v>2025</v>
      </c>
      <c r="F183" t="s">
        <v>13</v>
      </c>
      <c r="G183" s="3">
        <v>2560</v>
      </c>
      <c r="H183" s="3">
        <v>2577.1999999999998</v>
      </c>
      <c r="I183" s="3">
        <v>2543.1</v>
      </c>
      <c r="J183" s="3">
        <v>2557.6</v>
      </c>
      <c r="K183" s="3">
        <v>2545</v>
      </c>
      <c r="L183" s="3">
        <v>2549.4</v>
      </c>
      <c r="M183" s="3">
        <v>2557.23</v>
      </c>
      <c r="N183" s="3">
        <v>3150.1</v>
      </c>
      <c r="O183" s="3">
        <v>2025</v>
      </c>
      <c r="P183" s="3">
        <v>682968</v>
      </c>
      <c r="Q183" s="3">
        <v>28888</v>
      </c>
    </row>
    <row r="184" spans="1:17" x14ac:dyDescent="0.3">
      <c r="A184" s="1">
        <v>45946</v>
      </c>
      <c r="B184" s="1" t="str">
        <f t="shared" si="8"/>
        <v>Thursday</v>
      </c>
      <c r="C184" s="1" t="str">
        <f t="shared" si="9"/>
        <v>Q4</v>
      </c>
      <c r="D184" s="1" t="str">
        <f t="shared" si="10"/>
        <v>Oct</v>
      </c>
      <c r="E184" s="1" t="str">
        <f t="shared" si="11"/>
        <v>2025</v>
      </c>
      <c r="F184" t="s">
        <v>13</v>
      </c>
      <c r="G184" s="3">
        <v>2544.8000000000002</v>
      </c>
      <c r="H184" s="3">
        <v>2579.6999999999998</v>
      </c>
      <c r="I184" s="3">
        <v>2540.9</v>
      </c>
      <c r="J184" s="3">
        <v>2532.8000000000002</v>
      </c>
      <c r="K184" s="3">
        <v>2554.5</v>
      </c>
      <c r="L184" s="3">
        <v>2557.6</v>
      </c>
      <c r="M184" s="3">
        <v>2563.4299999999998</v>
      </c>
      <c r="N184" s="3">
        <v>3150.1</v>
      </c>
      <c r="O184" s="3">
        <v>2025</v>
      </c>
      <c r="P184" s="3">
        <v>1020102</v>
      </c>
      <c r="Q184" s="3">
        <v>36921</v>
      </c>
    </row>
    <row r="185" spans="1:17" x14ac:dyDescent="0.3">
      <c r="A185" s="1">
        <v>45945</v>
      </c>
      <c r="B185" s="1" t="str">
        <f t="shared" si="8"/>
        <v>Wednesday</v>
      </c>
      <c r="C185" s="1" t="str">
        <f t="shared" si="9"/>
        <v>Q4</v>
      </c>
      <c r="D185" s="1" t="str">
        <f t="shared" si="10"/>
        <v>Oct</v>
      </c>
      <c r="E185" s="1" t="str">
        <f t="shared" si="11"/>
        <v>2025</v>
      </c>
      <c r="F185" t="s">
        <v>13</v>
      </c>
      <c r="G185" s="3">
        <v>2535</v>
      </c>
      <c r="H185" s="3">
        <v>2561.4</v>
      </c>
      <c r="I185" s="3">
        <v>2527.3000000000002</v>
      </c>
      <c r="J185" s="3">
        <v>2517</v>
      </c>
      <c r="K185" s="3">
        <v>2538.8000000000002</v>
      </c>
      <c r="L185" s="3">
        <v>2532.8000000000002</v>
      </c>
      <c r="M185" s="3">
        <v>2542.1999999999998</v>
      </c>
      <c r="N185" s="3">
        <v>3150.1</v>
      </c>
      <c r="O185" s="3">
        <v>2025</v>
      </c>
      <c r="P185" s="3">
        <v>759772</v>
      </c>
      <c r="Q185" s="3">
        <v>32585</v>
      </c>
    </row>
    <row r="186" spans="1:17" x14ac:dyDescent="0.3">
      <c r="A186" s="1">
        <v>45944</v>
      </c>
      <c r="B186" s="1" t="str">
        <f t="shared" si="8"/>
        <v>Tuesday</v>
      </c>
      <c r="C186" s="1" t="str">
        <f t="shared" si="9"/>
        <v>Q4</v>
      </c>
      <c r="D186" s="1" t="str">
        <f t="shared" si="10"/>
        <v>Oct</v>
      </c>
      <c r="E186" s="1" t="str">
        <f t="shared" si="11"/>
        <v>2025</v>
      </c>
      <c r="F186" t="s">
        <v>13</v>
      </c>
      <c r="G186" s="3">
        <v>2538.9</v>
      </c>
      <c r="H186" s="3">
        <v>2538.9</v>
      </c>
      <c r="I186" s="3">
        <v>2485.1999999999998</v>
      </c>
      <c r="J186" s="3">
        <v>2527.4</v>
      </c>
      <c r="K186" s="3">
        <v>2519</v>
      </c>
      <c r="L186" s="3">
        <v>2517</v>
      </c>
      <c r="M186" s="3">
        <v>2510.23</v>
      </c>
      <c r="N186" s="3">
        <v>3150.1</v>
      </c>
      <c r="O186" s="3">
        <v>2025</v>
      </c>
      <c r="P186" s="3">
        <v>673048</v>
      </c>
      <c r="Q186" s="3">
        <v>30957</v>
      </c>
    </row>
    <row r="187" spans="1:17" x14ac:dyDescent="0.3">
      <c r="A187" s="1">
        <v>45943</v>
      </c>
      <c r="B187" s="1" t="str">
        <f t="shared" si="8"/>
        <v>Monday</v>
      </c>
      <c r="C187" s="1" t="str">
        <f t="shared" si="9"/>
        <v>Q4</v>
      </c>
      <c r="D187" s="1" t="str">
        <f t="shared" si="10"/>
        <v>Oct</v>
      </c>
      <c r="E187" s="1" t="str">
        <f t="shared" si="11"/>
        <v>2025</v>
      </c>
      <c r="F187" t="s">
        <v>13</v>
      </c>
      <c r="G187" s="3">
        <v>2529.1</v>
      </c>
      <c r="H187" s="3">
        <v>2542.1</v>
      </c>
      <c r="I187" s="3">
        <v>2504</v>
      </c>
      <c r="J187" s="3">
        <v>2550.9</v>
      </c>
      <c r="K187" s="3">
        <v>2523.5</v>
      </c>
      <c r="L187" s="3">
        <v>2527.4</v>
      </c>
      <c r="M187" s="3">
        <v>2523.35</v>
      </c>
      <c r="N187" s="3">
        <v>3150.1</v>
      </c>
      <c r="O187" s="3">
        <v>2025</v>
      </c>
      <c r="P187" s="3">
        <v>645483</v>
      </c>
      <c r="Q187" s="3">
        <v>28683</v>
      </c>
    </row>
    <row r="188" spans="1:17" x14ac:dyDescent="0.3">
      <c r="A188" s="1">
        <v>45940</v>
      </c>
      <c r="B188" s="1" t="str">
        <f t="shared" si="8"/>
        <v>Friday</v>
      </c>
      <c r="C188" s="1" t="str">
        <f t="shared" si="9"/>
        <v>Q4</v>
      </c>
      <c r="D188" s="1" t="str">
        <f t="shared" si="10"/>
        <v>Oct</v>
      </c>
      <c r="E188" s="1" t="str">
        <f t="shared" si="11"/>
        <v>2025</v>
      </c>
      <c r="F188" t="s">
        <v>13</v>
      </c>
      <c r="G188" s="3">
        <v>2552</v>
      </c>
      <c r="H188" s="3">
        <v>2565</v>
      </c>
      <c r="I188" s="3">
        <v>2538.8000000000002</v>
      </c>
      <c r="J188" s="3">
        <v>2542.4</v>
      </c>
      <c r="K188" s="3">
        <v>2542.1</v>
      </c>
      <c r="L188" s="3">
        <v>2550.9</v>
      </c>
      <c r="M188" s="3">
        <v>2552.39</v>
      </c>
      <c r="N188" s="3">
        <v>3211</v>
      </c>
      <c r="O188" s="3">
        <v>2025</v>
      </c>
      <c r="P188" s="3">
        <v>690142</v>
      </c>
      <c r="Q188" s="3">
        <v>30769</v>
      </c>
    </row>
    <row r="189" spans="1:17" x14ac:dyDescent="0.3">
      <c r="A189" s="1">
        <v>45939</v>
      </c>
      <c r="B189" s="1" t="str">
        <f t="shared" si="8"/>
        <v>Thursday</v>
      </c>
      <c r="C189" s="1" t="str">
        <f t="shared" si="9"/>
        <v>Q4</v>
      </c>
      <c r="D189" s="1" t="str">
        <f t="shared" si="10"/>
        <v>Oct</v>
      </c>
      <c r="E189" s="1" t="str">
        <f t="shared" si="11"/>
        <v>2025</v>
      </c>
      <c r="F189" t="s">
        <v>13</v>
      </c>
      <c r="G189" s="3">
        <v>2535</v>
      </c>
      <c r="H189" s="3">
        <v>2559</v>
      </c>
      <c r="I189" s="3">
        <v>2522.1999999999998</v>
      </c>
      <c r="J189" s="3">
        <v>2524.1</v>
      </c>
      <c r="K189" s="3">
        <v>2547</v>
      </c>
      <c r="L189" s="3">
        <v>2542.4</v>
      </c>
      <c r="M189" s="3">
        <v>2544.7399999999998</v>
      </c>
      <c r="N189" s="3">
        <v>3211</v>
      </c>
      <c r="O189" s="3">
        <v>2025</v>
      </c>
      <c r="P189" s="3">
        <v>651703</v>
      </c>
      <c r="Q189" s="3">
        <v>28591</v>
      </c>
    </row>
    <row r="190" spans="1:17" x14ac:dyDescent="0.3">
      <c r="A190" s="1">
        <v>45938</v>
      </c>
      <c r="B190" s="1" t="str">
        <f t="shared" si="8"/>
        <v>Wednesday</v>
      </c>
      <c r="C190" s="1" t="str">
        <f t="shared" si="9"/>
        <v>Q4</v>
      </c>
      <c r="D190" s="1" t="str">
        <f t="shared" si="10"/>
        <v>Oct</v>
      </c>
      <c r="E190" s="1" t="str">
        <f t="shared" si="11"/>
        <v>2025</v>
      </c>
      <c r="F190" t="s">
        <v>13</v>
      </c>
      <c r="G190" s="3">
        <v>2562</v>
      </c>
      <c r="H190" s="3">
        <v>2565</v>
      </c>
      <c r="I190" s="3">
        <v>2500</v>
      </c>
      <c r="J190" s="3">
        <v>2542.1999999999998</v>
      </c>
      <c r="K190" s="3">
        <v>2525</v>
      </c>
      <c r="L190" s="3">
        <v>2524.1</v>
      </c>
      <c r="M190" s="3">
        <v>2524.6799999999998</v>
      </c>
      <c r="N190" s="3">
        <v>3211</v>
      </c>
      <c r="O190" s="3">
        <v>2025</v>
      </c>
      <c r="P190" s="3">
        <v>1063357</v>
      </c>
      <c r="Q190" s="3">
        <v>40794</v>
      </c>
    </row>
    <row r="191" spans="1:17" x14ac:dyDescent="0.3">
      <c r="A191" s="1">
        <v>45937</v>
      </c>
      <c r="B191" s="1" t="str">
        <f t="shared" si="8"/>
        <v>Tuesday</v>
      </c>
      <c r="C191" s="1" t="str">
        <f t="shared" si="9"/>
        <v>Q4</v>
      </c>
      <c r="D191" s="1" t="str">
        <f t="shared" si="10"/>
        <v>Oct</v>
      </c>
      <c r="E191" s="1" t="str">
        <f t="shared" si="11"/>
        <v>2025</v>
      </c>
      <c r="F191" t="s">
        <v>13</v>
      </c>
      <c r="G191" s="3">
        <v>2580.6999999999998</v>
      </c>
      <c r="H191" s="3">
        <v>2617.3000000000002</v>
      </c>
      <c r="I191" s="3">
        <v>2533.1</v>
      </c>
      <c r="J191" s="3">
        <v>2573.5</v>
      </c>
      <c r="K191" s="3">
        <v>2556.5</v>
      </c>
      <c r="L191" s="3">
        <v>2542.1999999999998</v>
      </c>
      <c r="M191" s="3">
        <v>2579.42</v>
      </c>
      <c r="N191" s="3">
        <v>3211</v>
      </c>
      <c r="O191" s="3">
        <v>2025</v>
      </c>
      <c r="P191" s="3">
        <v>1120230</v>
      </c>
      <c r="Q191" s="3">
        <v>48731</v>
      </c>
    </row>
    <row r="192" spans="1:17" x14ac:dyDescent="0.3">
      <c r="A192" s="1">
        <v>45936</v>
      </c>
      <c r="B192" s="1" t="str">
        <f t="shared" si="8"/>
        <v>Monday</v>
      </c>
      <c r="C192" s="1" t="str">
        <f t="shared" si="9"/>
        <v>Q4</v>
      </c>
      <c r="D192" s="1" t="str">
        <f t="shared" si="10"/>
        <v>Oct</v>
      </c>
      <c r="E192" s="1" t="str">
        <f t="shared" si="11"/>
        <v>2025</v>
      </c>
      <c r="F192" t="s">
        <v>13</v>
      </c>
      <c r="G192" s="3">
        <v>2589.1</v>
      </c>
      <c r="H192" s="3">
        <v>2599.8000000000002</v>
      </c>
      <c r="I192" s="3">
        <v>2562.6</v>
      </c>
      <c r="J192" s="3">
        <v>2589.9</v>
      </c>
      <c r="K192" s="3">
        <v>2573</v>
      </c>
      <c r="L192" s="3">
        <v>2573.5</v>
      </c>
      <c r="M192" s="3">
        <v>2575.41</v>
      </c>
      <c r="N192" s="3">
        <v>3211</v>
      </c>
      <c r="O192" s="3">
        <v>2025</v>
      </c>
      <c r="P192" s="3">
        <v>654955</v>
      </c>
      <c r="Q192" s="3">
        <v>29063</v>
      </c>
    </row>
    <row r="193" spans="1:17" x14ac:dyDescent="0.3">
      <c r="A193" s="1">
        <v>45933</v>
      </c>
      <c r="B193" s="1" t="str">
        <f t="shared" si="8"/>
        <v>Friday</v>
      </c>
      <c r="C193" s="1" t="str">
        <f t="shared" si="9"/>
        <v>Q4</v>
      </c>
      <c r="D193" s="1" t="str">
        <f t="shared" si="10"/>
        <v>Oct</v>
      </c>
      <c r="E193" s="1" t="str">
        <f t="shared" si="11"/>
        <v>2025</v>
      </c>
      <c r="F193" t="s">
        <v>13</v>
      </c>
      <c r="G193" s="3">
        <v>2595</v>
      </c>
      <c r="H193" s="3">
        <v>2612.9</v>
      </c>
      <c r="I193" s="3">
        <v>2564.4</v>
      </c>
      <c r="J193" s="3">
        <v>2592.6999999999998</v>
      </c>
      <c r="K193" s="3">
        <v>2586.1</v>
      </c>
      <c r="L193" s="3">
        <v>2589.9</v>
      </c>
      <c r="M193" s="3">
        <v>2588.4899999999998</v>
      </c>
      <c r="N193" s="3">
        <v>3211</v>
      </c>
      <c r="O193" s="3">
        <v>2025</v>
      </c>
      <c r="P193" s="3">
        <v>917651</v>
      </c>
      <c r="Q193" s="3">
        <v>37872</v>
      </c>
    </row>
    <row r="194" spans="1:17" x14ac:dyDescent="0.3">
      <c r="A194" s="1">
        <v>45931</v>
      </c>
      <c r="B194" s="1" t="str">
        <f t="shared" si="8"/>
        <v>Wednesday</v>
      </c>
      <c r="C194" s="1" t="str">
        <f t="shared" si="9"/>
        <v>Q4</v>
      </c>
      <c r="D194" s="1" t="str">
        <f t="shared" si="10"/>
        <v>Oct</v>
      </c>
      <c r="E194" s="1" t="str">
        <f t="shared" si="11"/>
        <v>2025</v>
      </c>
      <c r="F194" t="s">
        <v>13</v>
      </c>
      <c r="G194" s="3">
        <v>2518.4</v>
      </c>
      <c r="H194" s="3">
        <v>2603.4</v>
      </c>
      <c r="I194" s="3">
        <v>2472.1</v>
      </c>
      <c r="J194" s="3">
        <v>2505.9</v>
      </c>
      <c r="K194" s="3">
        <v>2594.3000000000002</v>
      </c>
      <c r="L194" s="3">
        <v>2592.6999999999998</v>
      </c>
      <c r="M194" s="3">
        <v>2534.6999999999998</v>
      </c>
      <c r="N194" s="3">
        <v>3211</v>
      </c>
      <c r="O194" s="3">
        <v>2025</v>
      </c>
      <c r="P194" s="3">
        <v>1573485</v>
      </c>
      <c r="Q194" s="3">
        <v>57732</v>
      </c>
    </row>
    <row r="195" spans="1:17" x14ac:dyDescent="0.3">
      <c r="A195" s="1">
        <v>45930</v>
      </c>
      <c r="B195" s="1" t="str">
        <f t="shared" ref="B195:B248" si="12">TEXT(A195,"dddd")</f>
        <v>Tuesday</v>
      </c>
      <c r="C195" s="1" t="str">
        <f t="shared" ref="C195:C248" si="13">"Q"&amp;ROUNDUP(MONTH(A195)/3,0)</f>
        <v>Q3</v>
      </c>
      <c r="D195" s="1" t="str">
        <f t="shared" ref="D195:D248" si="14">TEXT(A195,"MMM")</f>
        <v>Sep</v>
      </c>
      <c r="E195" s="1" t="str">
        <f t="shared" ref="E195:E248" si="15">TEXT(A195,"YYYY")</f>
        <v>2025</v>
      </c>
      <c r="F195" t="s">
        <v>13</v>
      </c>
      <c r="G195" s="3">
        <v>2522</v>
      </c>
      <c r="H195" s="3">
        <v>2535</v>
      </c>
      <c r="I195" s="3">
        <v>2490.6</v>
      </c>
      <c r="J195" s="3">
        <v>2509.5</v>
      </c>
      <c r="K195" s="3">
        <v>2509</v>
      </c>
      <c r="L195" s="3">
        <v>2505.9</v>
      </c>
      <c r="M195" s="3">
        <v>2512.9699999999998</v>
      </c>
      <c r="N195" s="3">
        <v>3211</v>
      </c>
      <c r="O195" s="3">
        <v>2025</v>
      </c>
      <c r="P195" s="3">
        <v>712592</v>
      </c>
      <c r="Q195" s="3">
        <v>38461</v>
      </c>
    </row>
    <row r="196" spans="1:17" x14ac:dyDescent="0.3">
      <c r="A196" s="1">
        <v>45929</v>
      </c>
      <c r="B196" s="1" t="str">
        <f t="shared" si="12"/>
        <v>Monday</v>
      </c>
      <c r="C196" s="1" t="str">
        <f t="shared" si="13"/>
        <v>Q3</v>
      </c>
      <c r="D196" s="1" t="str">
        <f t="shared" si="14"/>
        <v>Sep</v>
      </c>
      <c r="E196" s="1" t="str">
        <f t="shared" si="15"/>
        <v>2025</v>
      </c>
      <c r="F196" t="s">
        <v>13</v>
      </c>
      <c r="G196" s="3">
        <v>2543.6999999999998</v>
      </c>
      <c r="H196" s="3">
        <v>2555</v>
      </c>
      <c r="I196" s="3">
        <v>2505</v>
      </c>
      <c r="J196" s="3">
        <v>2543.6999999999998</v>
      </c>
      <c r="K196" s="3">
        <v>2521</v>
      </c>
      <c r="L196" s="3">
        <v>2509.5</v>
      </c>
      <c r="M196" s="3">
        <v>2528.21</v>
      </c>
      <c r="N196" s="3">
        <v>3211</v>
      </c>
      <c r="O196" s="3">
        <v>2025</v>
      </c>
      <c r="P196" s="3">
        <v>1012402</v>
      </c>
      <c r="Q196" s="3">
        <v>48219</v>
      </c>
    </row>
    <row r="197" spans="1:17" x14ac:dyDescent="0.3">
      <c r="A197" s="1">
        <v>45926</v>
      </c>
      <c r="B197" s="1" t="str">
        <f t="shared" si="12"/>
        <v>Friday</v>
      </c>
      <c r="C197" s="1" t="str">
        <f t="shared" si="13"/>
        <v>Q3</v>
      </c>
      <c r="D197" s="1" t="str">
        <f t="shared" si="14"/>
        <v>Sep</v>
      </c>
      <c r="E197" s="1" t="str">
        <f t="shared" si="15"/>
        <v>2025</v>
      </c>
      <c r="F197" t="s">
        <v>13</v>
      </c>
      <c r="G197" s="3">
        <v>2572.8000000000002</v>
      </c>
      <c r="H197" s="3">
        <v>2605</v>
      </c>
      <c r="I197" s="3">
        <v>2535</v>
      </c>
      <c r="J197" s="3">
        <v>2576.4</v>
      </c>
      <c r="K197" s="3">
        <v>2535.6</v>
      </c>
      <c r="L197" s="3">
        <v>2543.6999999999998</v>
      </c>
      <c r="M197" s="3">
        <v>2570.86</v>
      </c>
      <c r="N197" s="3">
        <v>3211</v>
      </c>
      <c r="O197" s="3">
        <v>2025</v>
      </c>
      <c r="P197" s="3">
        <v>1037808</v>
      </c>
      <c r="Q197" s="3">
        <v>46432</v>
      </c>
    </row>
    <row r="198" spans="1:17" x14ac:dyDescent="0.3">
      <c r="A198" s="1">
        <v>45925</v>
      </c>
      <c r="B198" s="1" t="str">
        <f t="shared" si="12"/>
        <v>Thursday</v>
      </c>
      <c r="C198" s="1" t="str">
        <f t="shared" si="13"/>
        <v>Q3</v>
      </c>
      <c r="D198" s="1" t="str">
        <f t="shared" si="14"/>
        <v>Sep</v>
      </c>
      <c r="E198" s="1" t="str">
        <f t="shared" si="15"/>
        <v>2025</v>
      </c>
      <c r="F198" t="s">
        <v>13</v>
      </c>
      <c r="G198" s="3">
        <v>2625</v>
      </c>
      <c r="H198" s="3">
        <v>2647.9</v>
      </c>
      <c r="I198" s="3">
        <v>2567</v>
      </c>
      <c r="J198" s="3">
        <v>2619.8000000000002</v>
      </c>
      <c r="K198" s="3">
        <v>2573.3000000000002</v>
      </c>
      <c r="L198" s="3">
        <v>2576.4</v>
      </c>
      <c r="M198" s="3">
        <v>2608.3200000000002</v>
      </c>
      <c r="N198" s="3">
        <v>3211</v>
      </c>
      <c r="O198" s="3">
        <v>2025</v>
      </c>
      <c r="P198" s="3">
        <v>1489682</v>
      </c>
      <c r="Q198" s="3">
        <v>50400</v>
      </c>
    </row>
    <row r="199" spans="1:17" x14ac:dyDescent="0.3">
      <c r="A199" s="1">
        <v>45924</v>
      </c>
      <c r="B199" s="1" t="str">
        <f t="shared" si="12"/>
        <v>Wednesday</v>
      </c>
      <c r="C199" s="1" t="str">
        <f t="shared" si="13"/>
        <v>Q3</v>
      </c>
      <c r="D199" s="1" t="str">
        <f t="shared" si="14"/>
        <v>Sep</v>
      </c>
      <c r="E199" s="1" t="str">
        <f t="shared" si="15"/>
        <v>2025</v>
      </c>
      <c r="F199" t="s">
        <v>13</v>
      </c>
      <c r="G199" s="3">
        <v>2655</v>
      </c>
      <c r="H199" s="3">
        <v>2676</v>
      </c>
      <c r="I199" s="3">
        <v>2614.4</v>
      </c>
      <c r="J199" s="3">
        <v>2676.4</v>
      </c>
      <c r="K199" s="3">
        <v>2624</v>
      </c>
      <c r="L199" s="3">
        <v>2619.8000000000002</v>
      </c>
      <c r="M199" s="3">
        <v>2647.88</v>
      </c>
      <c r="N199" s="3">
        <v>3211</v>
      </c>
      <c r="O199" s="3">
        <v>2025</v>
      </c>
      <c r="P199" s="3">
        <v>1720785</v>
      </c>
      <c r="Q199" s="3">
        <v>60770</v>
      </c>
    </row>
    <row r="200" spans="1:17" x14ac:dyDescent="0.3">
      <c r="A200" s="1">
        <v>45923</v>
      </c>
      <c r="B200" s="1" t="str">
        <f t="shared" si="12"/>
        <v>Tuesday</v>
      </c>
      <c r="C200" s="1" t="str">
        <f t="shared" si="13"/>
        <v>Q3</v>
      </c>
      <c r="D200" s="1" t="str">
        <f t="shared" si="14"/>
        <v>Sep</v>
      </c>
      <c r="E200" s="1" t="str">
        <f t="shared" si="15"/>
        <v>2025</v>
      </c>
      <c r="F200" t="s">
        <v>13</v>
      </c>
      <c r="G200" s="3">
        <v>2642.6</v>
      </c>
      <c r="H200" s="3">
        <v>2695</v>
      </c>
      <c r="I200" s="3">
        <v>2593</v>
      </c>
      <c r="J200" s="3">
        <v>2629.5</v>
      </c>
      <c r="K200" s="3">
        <v>2666</v>
      </c>
      <c r="L200" s="3">
        <v>2676.4</v>
      </c>
      <c r="M200" s="3">
        <v>2665.79</v>
      </c>
      <c r="N200" s="3">
        <v>3211</v>
      </c>
      <c r="O200" s="3">
        <v>2025</v>
      </c>
      <c r="P200" s="3">
        <v>5610022</v>
      </c>
      <c r="Q200" s="3">
        <v>167336</v>
      </c>
    </row>
    <row r="201" spans="1:17" x14ac:dyDescent="0.3">
      <c r="A201" s="1">
        <v>45922</v>
      </c>
      <c r="B201" s="1" t="str">
        <f t="shared" si="12"/>
        <v>Monday</v>
      </c>
      <c r="C201" s="1" t="str">
        <f t="shared" si="13"/>
        <v>Q3</v>
      </c>
      <c r="D201" s="1" t="str">
        <f t="shared" si="14"/>
        <v>Sep</v>
      </c>
      <c r="E201" s="1" t="str">
        <f t="shared" si="15"/>
        <v>2025</v>
      </c>
      <c r="F201" t="s">
        <v>13</v>
      </c>
      <c r="G201" s="3">
        <v>2535</v>
      </c>
      <c r="H201" s="3">
        <v>2659</v>
      </c>
      <c r="I201" s="3">
        <v>2522.1</v>
      </c>
      <c r="J201" s="3">
        <v>2524</v>
      </c>
      <c r="K201" s="3">
        <v>2624.5</v>
      </c>
      <c r="L201" s="3">
        <v>2629.5</v>
      </c>
      <c r="M201" s="3">
        <v>2615.4899999999998</v>
      </c>
      <c r="N201" s="3">
        <v>3211</v>
      </c>
      <c r="O201" s="3">
        <v>2025</v>
      </c>
      <c r="P201" s="3">
        <v>7022985</v>
      </c>
      <c r="Q201" s="3">
        <v>200598</v>
      </c>
    </row>
    <row r="202" spans="1:17" x14ac:dyDescent="0.3">
      <c r="A202" s="1">
        <v>45919</v>
      </c>
      <c r="B202" s="1" t="str">
        <f t="shared" si="12"/>
        <v>Friday</v>
      </c>
      <c r="C202" s="1" t="str">
        <f t="shared" si="13"/>
        <v>Q3</v>
      </c>
      <c r="D202" s="1" t="str">
        <f t="shared" si="14"/>
        <v>Sep</v>
      </c>
      <c r="E202" s="1" t="str">
        <f t="shared" si="15"/>
        <v>2025</v>
      </c>
      <c r="F202" t="s">
        <v>13</v>
      </c>
      <c r="G202" s="3">
        <v>2495</v>
      </c>
      <c r="H202" s="3">
        <v>2579</v>
      </c>
      <c r="I202" s="3">
        <v>2466.1</v>
      </c>
      <c r="J202" s="3">
        <v>2402</v>
      </c>
      <c r="K202" s="3">
        <v>2528</v>
      </c>
      <c r="L202" s="3">
        <v>2524</v>
      </c>
      <c r="M202" s="3">
        <v>2520.0100000000002</v>
      </c>
      <c r="N202" s="3">
        <v>3211</v>
      </c>
      <c r="O202" s="3">
        <v>2025</v>
      </c>
      <c r="P202" s="3">
        <v>7965135</v>
      </c>
      <c r="Q202" s="3">
        <v>238677</v>
      </c>
    </row>
    <row r="203" spans="1:17" x14ac:dyDescent="0.3">
      <c r="A203" s="1">
        <v>45918</v>
      </c>
      <c r="B203" s="1" t="str">
        <f t="shared" si="12"/>
        <v>Thursday</v>
      </c>
      <c r="C203" s="1" t="str">
        <f t="shared" si="13"/>
        <v>Q3</v>
      </c>
      <c r="D203" s="1" t="str">
        <f t="shared" si="14"/>
        <v>Sep</v>
      </c>
      <c r="E203" s="1" t="str">
        <f t="shared" si="15"/>
        <v>2025</v>
      </c>
      <c r="F203" t="s">
        <v>13</v>
      </c>
      <c r="G203" s="3">
        <v>2414.5</v>
      </c>
      <c r="H203" s="3">
        <v>2438</v>
      </c>
      <c r="I203" s="3">
        <v>2388.4</v>
      </c>
      <c r="J203" s="3">
        <v>2402</v>
      </c>
      <c r="K203" s="3">
        <v>2402</v>
      </c>
      <c r="L203" s="3">
        <v>2402</v>
      </c>
      <c r="M203" s="3">
        <v>2409.5500000000002</v>
      </c>
      <c r="N203" s="3">
        <v>3211</v>
      </c>
      <c r="O203" s="3">
        <v>2025</v>
      </c>
      <c r="P203" s="3">
        <v>703730</v>
      </c>
      <c r="Q203" s="3">
        <v>35404</v>
      </c>
    </row>
    <row r="204" spans="1:17" x14ac:dyDescent="0.3">
      <c r="A204" s="1">
        <v>45917</v>
      </c>
      <c r="B204" s="1" t="str">
        <f t="shared" si="12"/>
        <v>Wednesday</v>
      </c>
      <c r="C204" s="1" t="str">
        <f t="shared" si="13"/>
        <v>Q3</v>
      </c>
      <c r="D204" s="1" t="str">
        <f t="shared" si="14"/>
        <v>Sep</v>
      </c>
      <c r="E204" s="1" t="str">
        <f t="shared" si="15"/>
        <v>2025</v>
      </c>
      <c r="F204" t="s">
        <v>13</v>
      </c>
      <c r="G204" s="3">
        <v>2417</v>
      </c>
      <c r="H204" s="3">
        <v>2417</v>
      </c>
      <c r="I204" s="3">
        <v>2391</v>
      </c>
      <c r="J204" s="3">
        <v>2399.4</v>
      </c>
      <c r="K204" s="3">
        <v>2408</v>
      </c>
      <c r="L204" s="3">
        <v>2402</v>
      </c>
      <c r="M204" s="3">
        <v>2402.5</v>
      </c>
      <c r="N204" s="3">
        <v>3211</v>
      </c>
      <c r="O204" s="3">
        <v>2025</v>
      </c>
      <c r="P204" s="3">
        <v>514354</v>
      </c>
      <c r="Q204" s="3">
        <v>30311</v>
      </c>
    </row>
    <row r="205" spans="1:17" x14ac:dyDescent="0.3">
      <c r="A205" s="1">
        <v>45916</v>
      </c>
      <c r="B205" s="1" t="str">
        <f t="shared" si="12"/>
        <v>Tuesday</v>
      </c>
      <c r="C205" s="1" t="str">
        <f t="shared" si="13"/>
        <v>Q3</v>
      </c>
      <c r="D205" s="1" t="str">
        <f t="shared" si="14"/>
        <v>Sep</v>
      </c>
      <c r="E205" s="1" t="str">
        <f t="shared" si="15"/>
        <v>2025</v>
      </c>
      <c r="F205" t="s">
        <v>13</v>
      </c>
      <c r="G205" s="3">
        <v>2410</v>
      </c>
      <c r="H205" s="3">
        <v>2415.8000000000002</v>
      </c>
      <c r="I205" s="3">
        <v>2388</v>
      </c>
      <c r="J205" s="3">
        <v>2383.4</v>
      </c>
      <c r="K205" s="3">
        <v>2401</v>
      </c>
      <c r="L205" s="3">
        <v>2399.4</v>
      </c>
      <c r="M205" s="3">
        <v>2398.04</v>
      </c>
      <c r="N205" s="3">
        <v>3211</v>
      </c>
      <c r="O205" s="3">
        <v>2025</v>
      </c>
      <c r="P205" s="3">
        <v>752979</v>
      </c>
      <c r="Q205" s="3">
        <v>33207</v>
      </c>
    </row>
    <row r="206" spans="1:17" x14ac:dyDescent="0.3">
      <c r="A206" s="1">
        <v>45915</v>
      </c>
      <c r="B206" s="1" t="str">
        <f t="shared" si="12"/>
        <v>Monday</v>
      </c>
      <c r="C206" s="1" t="str">
        <f t="shared" si="13"/>
        <v>Q3</v>
      </c>
      <c r="D206" s="1" t="str">
        <f t="shared" si="14"/>
        <v>Sep</v>
      </c>
      <c r="E206" s="1" t="str">
        <f t="shared" si="15"/>
        <v>2025</v>
      </c>
      <c r="F206" t="s">
        <v>13</v>
      </c>
      <c r="G206" s="3">
        <v>2392</v>
      </c>
      <c r="H206" s="3">
        <v>2402.8000000000002</v>
      </c>
      <c r="I206" s="3">
        <v>2378.1</v>
      </c>
      <c r="J206" s="3">
        <v>2392</v>
      </c>
      <c r="K206" s="3">
        <v>2381</v>
      </c>
      <c r="L206" s="3">
        <v>2383.4</v>
      </c>
      <c r="M206" s="3">
        <v>2389.59</v>
      </c>
      <c r="N206" s="3">
        <v>3211</v>
      </c>
      <c r="O206" s="3">
        <v>2025</v>
      </c>
      <c r="P206" s="3">
        <v>298129</v>
      </c>
      <c r="Q206" s="3">
        <v>20087</v>
      </c>
    </row>
    <row r="207" spans="1:17" x14ac:dyDescent="0.3">
      <c r="A207" s="1">
        <v>45912</v>
      </c>
      <c r="B207" s="1" t="str">
        <f t="shared" si="12"/>
        <v>Friday</v>
      </c>
      <c r="C207" s="1" t="str">
        <f t="shared" si="13"/>
        <v>Q3</v>
      </c>
      <c r="D207" s="1" t="str">
        <f t="shared" si="14"/>
        <v>Sep</v>
      </c>
      <c r="E207" s="1" t="str">
        <f t="shared" si="15"/>
        <v>2025</v>
      </c>
      <c r="F207" t="s">
        <v>13</v>
      </c>
      <c r="G207" s="3">
        <v>2416.9</v>
      </c>
      <c r="H207" s="3">
        <v>2421.6</v>
      </c>
      <c r="I207" s="3">
        <v>2387.1</v>
      </c>
      <c r="J207" s="3">
        <v>2398.8000000000002</v>
      </c>
      <c r="K207" s="3">
        <v>2389</v>
      </c>
      <c r="L207" s="3">
        <v>2392</v>
      </c>
      <c r="M207" s="3">
        <v>2403.9499999999998</v>
      </c>
      <c r="N207" s="3">
        <v>3211</v>
      </c>
      <c r="O207" s="3">
        <v>2025</v>
      </c>
      <c r="P207" s="3">
        <v>533971</v>
      </c>
      <c r="Q207" s="3">
        <v>27629</v>
      </c>
    </row>
    <row r="208" spans="1:17" x14ac:dyDescent="0.3">
      <c r="A208" s="1">
        <v>45911</v>
      </c>
      <c r="B208" s="1" t="str">
        <f t="shared" si="12"/>
        <v>Thursday</v>
      </c>
      <c r="C208" s="1" t="str">
        <f t="shared" si="13"/>
        <v>Q3</v>
      </c>
      <c r="D208" s="1" t="str">
        <f t="shared" si="14"/>
        <v>Sep</v>
      </c>
      <c r="E208" s="1" t="str">
        <f t="shared" si="15"/>
        <v>2025</v>
      </c>
      <c r="F208" t="s">
        <v>13</v>
      </c>
      <c r="G208" s="3">
        <v>2348</v>
      </c>
      <c r="H208" s="3">
        <v>2418.6999999999998</v>
      </c>
      <c r="I208" s="3">
        <v>2340.1999999999998</v>
      </c>
      <c r="J208" s="3">
        <v>2340.1999999999998</v>
      </c>
      <c r="K208" s="3">
        <v>2408</v>
      </c>
      <c r="L208" s="3">
        <v>2398.8000000000002</v>
      </c>
      <c r="M208" s="3">
        <v>2394.0300000000002</v>
      </c>
      <c r="N208" s="3">
        <v>3211</v>
      </c>
      <c r="O208" s="3">
        <v>2025</v>
      </c>
      <c r="P208" s="3">
        <v>2111888</v>
      </c>
      <c r="Q208" s="3">
        <v>91785</v>
      </c>
    </row>
    <row r="209" spans="1:17" x14ac:dyDescent="0.3">
      <c r="A209" s="1">
        <v>45910</v>
      </c>
      <c r="B209" s="1" t="str">
        <f t="shared" si="12"/>
        <v>Wednesday</v>
      </c>
      <c r="C209" s="1" t="str">
        <f t="shared" si="13"/>
        <v>Q3</v>
      </c>
      <c r="D209" s="1" t="str">
        <f t="shared" si="14"/>
        <v>Sep</v>
      </c>
      <c r="E209" s="1" t="str">
        <f t="shared" si="15"/>
        <v>2025</v>
      </c>
      <c r="F209" t="s">
        <v>13</v>
      </c>
      <c r="G209" s="3">
        <v>2330</v>
      </c>
      <c r="H209" s="3">
        <v>2345.9</v>
      </c>
      <c r="I209" s="3">
        <v>2325.1</v>
      </c>
      <c r="J209" s="3">
        <v>2311.6</v>
      </c>
      <c r="K209" s="3">
        <v>2340.8000000000002</v>
      </c>
      <c r="L209" s="3">
        <v>2340.1999999999998</v>
      </c>
      <c r="M209" s="3">
        <v>2337.73</v>
      </c>
      <c r="N209" s="3">
        <v>3211</v>
      </c>
      <c r="O209" s="3">
        <v>2025</v>
      </c>
      <c r="P209" s="3">
        <v>390490</v>
      </c>
      <c r="Q209" s="3">
        <v>26122</v>
      </c>
    </row>
    <row r="210" spans="1:17" x14ac:dyDescent="0.3">
      <c r="A210" s="1">
        <v>45909</v>
      </c>
      <c r="B210" s="1" t="str">
        <f t="shared" si="12"/>
        <v>Tuesday</v>
      </c>
      <c r="C210" s="1" t="str">
        <f t="shared" si="13"/>
        <v>Q3</v>
      </c>
      <c r="D210" s="1" t="str">
        <f t="shared" si="14"/>
        <v>Sep</v>
      </c>
      <c r="E210" s="1" t="str">
        <f t="shared" si="15"/>
        <v>2025</v>
      </c>
      <c r="F210" t="s">
        <v>13</v>
      </c>
      <c r="G210" s="3">
        <v>2320</v>
      </c>
      <c r="H210" s="3">
        <v>2325</v>
      </c>
      <c r="I210" s="3">
        <v>2297</v>
      </c>
      <c r="J210" s="3">
        <v>2310.9</v>
      </c>
      <c r="K210" s="3">
        <v>2313.8000000000002</v>
      </c>
      <c r="L210" s="3">
        <v>2311.6</v>
      </c>
      <c r="M210" s="3">
        <v>2312.02</v>
      </c>
      <c r="N210" s="3">
        <v>3211</v>
      </c>
      <c r="O210" s="3">
        <v>2025</v>
      </c>
      <c r="P210" s="3">
        <v>369431</v>
      </c>
      <c r="Q210" s="3">
        <v>25802</v>
      </c>
    </row>
    <row r="211" spans="1:17" x14ac:dyDescent="0.3">
      <c r="A211" s="1">
        <v>45908</v>
      </c>
      <c r="B211" s="1" t="str">
        <f t="shared" si="12"/>
        <v>Monday</v>
      </c>
      <c r="C211" s="1" t="str">
        <f t="shared" si="13"/>
        <v>Q3</v>
      </c>
      <c r="D211" s="1" t="str">
        <f t="shared" si="14"/>
        <v>Sep</v>
      </c>
      <c r="E211" s="1" t="str">
        <f t="shared" si="15"/>
        <v>2025</v>
      </c>
      <c r="F211" t="s">
        <v>13</v>
      </c>
      <c r="G211" s="3">
        <v>2290</v>
      </c>
      <c r="H211" s="3">
        <v>2333.9</v>
      </c>
      <c r="I211" s="3">
        <v>2286</v>
      </c>
      <c r="J211" s="3">
        <v>2281.4</v>
      </c>
      <c r="K211" s="3">
        <v>2319</v>
      </c>
      <c r="L211" s="3">
        <v>2310.9</v>
      </c>
      <c r="M211" s="3">
        <v>2317.98</v>
      </c>
      <c r="N211" s="3">
        <v>3211</v>
      </c>
      <c r="O211" s="3">
        <v>2025</v>
      </c>
      <c r="P211" s="3">
        <v>542811</v>
      </c>
      <c r="Q211" s="3">
        <v>33564</v>
      </c>
    </row>
    <row r="212" spans="1:17" x14ac:dyDescent="0.3">
      <c r="A212" s="1">
        <v>45905</v>
      </c>
      <c r="B212" s="1" t="str">
        <f t="shared" si="12"/>
        <v>Friday</v>
      </c>
      <c r="C212" s="1" t="str">
        <f t="shared" si="13"/>
        <v>Q3</v>
      </c>
      <c r="D212" s="1" t="str">
        <f t="shared" si="14"/>
        <v>Sep</v>
      </c>
      <c r="E212" s="1" t="str">
        <f t="shared" si="15"/>
        <v>2025</v>
      </c>
      <c r="F212" t="s">
        <v>13</v>
      </c>
      <c r="G212" s="3">
        <v>2275</v>
      </c>
      <c r="H212" s="3">
        <v>2293.5</v>
      </c>
      <c r="I212" s="3">
        <v>2248</v>
      </c>
      <c r="J212" s="3">
        <v>2278.8000000000002</v>
      </c>
      <c r="K212" s="3">
        <v>2282.5</v>
      </c>
      <c r="L212" s="3">
        <v>2281.4</v>
      </c>
      <c r="M212" s="3">
        <v>2273.81</v>
      </c>
      <c r="N212" s="3">
        <v>3211</v>
      </c>
      <c r="O212" s="3">
        <v>2025</v>
      </c>
      <c r="P212" s="3">
        <v>443010</v>
      </c>
      <c r="Q212" s="3">
        <v>28096</v>
      </c>
    </row>
    <row r="213" spans="1:17" x14ac:dyDescent="0.3">
      <c r="A213" s="1">
        <v>45904</v>
      </c>
      <c r="B213" s="1" t="str">
        <f t="shared" si="12"/>
        <v>Thursday</v>
      </c>
      <c r="C213" s="1" t="str">
        <f t="shared" si="13"/>
        <v>Q3</v>
      </c>
      <c r="D213" s="1" t="str">
        <f t="shared" si="14"/>
        <v>Sep</v>
      </c>
      <c r="E213" s="1" t="str">
        <f t="shared" si="15"/>
        <v>2025</v>
      </c>
      <c r="F213" t="s">
        <v>13</v>
      </c>
      <c r="G213" s="3">
        <v>2309.9</v>
      </c>
      <c r="H213" s="3">
        <v>2317.3000000000002</v>
      </c>
      <c r="I213" s="3">
        <v>2275</v>
      </c>
      <c r="J213" s="3">
        <v>2288.6999999999998</v>
      </c>
      <c r="K213" s="3">
        <v>2280</v>
      </c>
      <c r="L213" s="3">
        <v>2278.8000000000002</v>
      </c>
      <c r="M213" s="3">
        <v>2291.33</v>
      </c>
      <c r="N213" s="3">
        <v>3211</v>
      </c>
      <c r="O213" s="3">
        <v>2025</v>
      </c>
      <c r="P213" s="3">
        <v>392697</v>
      </c>
      <c r="Q213" s="3">
        <v>29912</v>
      </c>
    </row>
    <row r="214" spans="1:17" x14ac:dyDescent="0.3">
      <c r="A214" s="1">
        <v>45903</v>
      </c>
      <c r="B214" s="1" t="str">
        <f t="shared" si="12"/>
        <v>Wednesday</v>
      </c>
      <c r="C214" s="1" t="str">
        <f t="shared" si="13"/>
        <v>Q3</v>
      </c>
      <c r="D214" s="1" t="str">
        <f t="shared" si="14"/>
        <v>Sep</v>
      </c>
      <c r="E214" s="1" t="str">
        <f t="shared" si="15"/>
        <v>2025</v>
      </c>
      <c r="F214" t="s">
        <v>13</v>
      </c>
      <c r="G214" s="3">
        <v>2285</v>
      </c>
      <c r="H214" s="3">
        <v>2293</v>
      </c>
      <c r="I214" s="3">
        <v>2263.1</v>
      </c>
      <c r="J214" s="3">
        <v>2274.1999999999998</v>
      </c>
      <c r="K214" s="3">
        <v>2292</v>
      </c>
      <c r="L214" s="3">
        <v>2288.6999999999998</v>
      </c>
      <c r="M214" s="3">
        <v>2279.5</v>
      </c>
      <c r="N214" s="3">
        <v>3211</v>
      </c>
      <c r="O214" s="3">
        <v>2025</v>
      </c>
      <c r="P214" s="3">
        <v>443629</v>
      </c>
      <c r="Q214" s="3">
        <v>28773</v>
      </c>
    </row>
    <row r="215" spans="1:17" x14ac:dyDescent="0.3">
      <c r="A215" s="1">
        <v>45902</v>
      </c>
      <c r="B215" s="1" t="str">
        <f t="shared" si="12"/>
        <v>Tuesday</v>
      </c>
      <c r="C215" s="1" t="str">
        <f t="shared" si="13"/>
        <v>Q3</v>
      </c>
      <c r="D215" s="1" t="str">
        <f t="shared" si="14"/>
        <v>Sep</v>
      </c>
      <c r="E215" s="1" t="str">
        <f t="shared" si="15"/>
        <v>2025</v>
      </c>
      <c r="F215" t="s">
        <v>13</v>
      </c>
      <c r="G215" s="3">
        <v>2291</v>
      </c>
      <c r="H215" s="3">
        <v>2302</v>
      </c>
      <c r="I215" s="3">
        <v>2264</v>
      </c>
      <c r="J215" s="3">
        <v>2284.1999999999998</v>
      </c>
      <c r="K215" s="3">
        <v>2278</v>
      </c>
      <c r="L215" s="3">
        <v>2274.1999999999998</v>
      </c>
      <c r="M215" s="3">
        <v>2283.41</v>
      </c>
      <c r="N215" s="3">
        <v>3211</v>
      </c>
      <c r="O215" s="3">
        <v>2025</v>
      </c>
      <c r="P215" s="3">
        <v>481894</v>
      </c>
      <c r="Q215" s="3">
        <v>37899</v>
      </c>
    </row>
    <row r="216" spans="1:17" x14ac:dyDescent="0.3">
      <c r="A216" s="1">
        <v>45901</v>
      </c>
      <c r="B216" s="1" t="str">
        <f t="shared" si="12"/>
        <v>Monday</v>
      </c>
      <c r="C216" s="1" t="str">
        <f t="shared" si="13"/>
        <v>Q3</v>
      </c>
      <c r="D216" s="1" t="str">
        <f t="shared" si="14"/>
        <v>Sep</v>
      </c>
      <c r="E216" s="1" t="str">
        <f t="shared" si="15"/>
        <v>2025</v>
      </c>
      <c r="F216" t="s">
        <v>13</v>
      </c>
      <c r="G216" s="3">
        <v>2259</v>
      </c>
      <c r="H216" s="3">
        <v>2288</v>
      </c>
      <c r="I216" s="3">
        <v>2252.1</v>
      </c>
      <c r="J216" s="3">
        <v>2244.6999999999998</v>
      </c>
      <c r="K216" s="3">
        <v>2286.6</v>
      </c>
      <c r="L216" s="3">
        <v>2284.1999999999998</v>
      </c>
      <c r="M216" s="3">
        <v>2274.83</v>
      </c>
      <c r="N216" s="3">
        <v>3211</v>
      </c>
      <c r="O216" s="3">
        <v>2025</v>
      </c>
      <c r="P216" s="3">
        <v>425639</v>
      </c>
      <c r="Q216" s="3">
        <v>29502</v>
      </c>
    </row>
    <row r="217" spans="1:17" x14ac:dyDescent="0.3">
      <c r="A217" s="1">
        <v>45898</v>
      </c>
      <c r="B217" s="1" t="str">
        <f t="shared" si="12"/>
        <v>Friday</v>
      </c>
      <c r="C217" s="1" t="str">
        <f t="shared" si="13"/>
        <v>Q3</v>
      </c>
      <c r="D217" s="1" t="str">
        <f t="shared" si="14"/>
        <v>Aug</v>
      </c>
      <c r="E217" s="1" t="str">
        <f t="shared" si="15"/>
        <v>2025</v>
      </c>
      <c r="F217" t="s">
        <v>13</v>
      </c>
      <c r="G217" s="3">
        <v>2283</v>
      </c>
      <c r="H217" s="3">
        <v>2289.6999999999998</v>
      </c>
      <c r="I217" s="3">
        <v>2240</v>
      </c>
      <c r="J217" s="3">
        <v>2275.1999999999998</v>
      </c>
      <c r="K217" s="3">
        <v>2247.9</v>
      </c>
      <c r="L217" s="3">
        <v>2244.6999999999998</v>
      </c>
      <c r="M217" s="3">
        <v>2257.7199999999998</v>
      </c>
      <c r="N217" s="3">
        <v>3211</v>
      </c>
      <c r="O217" s="3">
        <v>2025</v>
      </c>
      <c r="P217" s="3">
        <v>795699</v>
      </c>
      <c r="Q217" s="3">
        <v>50217</v>
      </c>
    </row>
    <row r="218" spans="1:17" x14ac:dyDescent="0.3">
      <c r="A218" s="1">
        <v>45897</v>
      </c>
      <c r="B218" s="1" t="str">
        <f t="shared" si="12"/>
        <v>Thursday</v>
      </c>
      <c r="C218" s="1" t="str">
        <f t="shared" si="13"/>
        <v>Q3</v>
      </c>
      <c r="D218" s="1" t="str">
        <f t="shared" si="14"/>
        <v>Aug</v>
      </c>
      <c r="E218" s="1" t="str">
        <f t="shared" si="15"/>
        <v>2025</v>
      </c>
      <c r="F218" t="s">
        <v>13</v>
      </c>
      <c r="G218" s="3">
        <v>2271.9</v>
      </c>
      <c r="H218" s="3">
        <v>2327.9</v>
      </c>
      <c r="I218" s="3">
        <v>2255</v>
      </c>
      <c r="J218" s="3">
        <v>2272</v>
      </c>
      <c r="K218" s="3">
        <v>2282.1</v>
      </c>
      <c r="L218" s="3">
        <v>2275.1999999999998</v>
      </c>
      <c r="M218" s="3">
        <v>2295.19</v>
      </c>
      <c r="N218" s="3">
        <v>3211</v>
      </c>
      <c r="O218" s="3">
        <v>2025</v>
      </c>
      <c r="P218" s="3">
        <v>907868</v>
      </c>
      <c r="Q218" s="3">
        <v>55327</v>
      </c>
    </row>
    <row r="219" spans="1:17" x14ac:dyDescent="0.3">
      <c r="A219" s="1">
        <v>45895</v>
      </c>
      <c r="B219" s="1" t="str">
        <f t="shared" si="12"/>
        <v>Tuesday</v>
      </c>
      <c r="C219" s="1" t="str">
        <f t="shared" si="13"/>
        <v>Q3</v>
      </c>
      <c r="D219" s="1" t="str">
        <f t="shared" si="14"/>
        <v>Aug</v>
      </c>
      <c r="E219" s="1" t="str">
        <f t="shared" si="15"/>
        <v>2025</v>
      </c>
      <c r="F219" t="s">
        <v>13</v>
      </c>
      <c r="G219" s="3">
        <v>2304</v>
      </c>
      <c r="H219" s="3">
        <v>2309.3000000000002</v>
      </c>
      <c r="I219" s="3">
        <v>2249.4</v>
      </c>
      <c r="J219" s="3">
        <v>2302.9</v>
      </c>
      <c r="K219" s="3">
        <v>2286</v>
      </c>
      <c r="L219" s="3">
        <v>2272</v>
      </c>
      <c r="M219" s="3">
        <v>2271.65</v>
      </c>
      <c r="N219" s="3">
        <v>3211</v>
      </c>
      <c r="O219" s="3">
        <v>2025</v>
      </c>
      <c r="P219" s="3">
        <v>1071550</v>
      </c>
      <c r="Q219" s="3">
        <v>49449</v>
      </c>
    </row>
    <row r="220" spans="1:17" x14ac:dyDescent="0.3">
      <c r="A220" s="1">
        <v>45894</v>
      </c>
      <c r="B220" s="1" t="str">
        <f t="shared" si="12"/>
        <v>Monday</v>
      </c>
      <c r="C220" s="1" t="str">
        <f t="shared" si="13"/>
        <v>Q3</v>
      </c>
      <c r="D220" s="1" t="str">
        <f t="shared" si="14"/>
        <v>Aug</v>
      </c>
      <c r="E220" s="1" t="str">
        <f t="shared" si="15"/>
        <v>2025</v>
      </c>
      <c r="F220" t="s">
        <v>13</v>
      </c>
      <c r="G220" s="3">
        <v>2335.6999999999998</v>
      </c>
      <c r="H220" s="3">
        <v>2348.4</v>
      </c>
      <c r="I220" s="3">
        <v>2300</v>
      </c>
      <c r="J220" s="3">
        <v>2324.9</v>
      </c>
      <c r="K220" s="3">
        <v>2302.8000000000002</v>
      </c>
      <c r="L220" s="3">
        <v>2302.9</v>
      </c>
      <c r="M220" s="3">
        <v>2317.89</v>
      </c>
      <c r="N220" s="3">
        <v>3211</v>
      </c>
      <c r="O220" s="3">
        <v>2025</v>
      </c>
      <c r="P220" s="3">
        <v>542455</v>
      </c>
      <c r="Q220" s="3">
        <v>28277</v>
      </c>
    </row>
    <row r="221" spans="1:17" x14ac:dyDescent="0.3">
      <c r="A221" s="1">
        <v>45891</v>
      </c>
      <c r="B221" s="1" t="str">
        <f t="shared" si="12"/>
        <v>Friday</v>
      </c>
      <c r="C221" s="1" t="str">
        <f t="shared" si="13"/>
        <v>Q3</v>
      </c>
      <c r="D221" s="1" t="str">
        <f t="shared" si="14"/>
        <v>Aug</v>
      </c>
      <c r="E221" s="1" t="str">
        <f t="shared" si="15"/>
        <v>2025</v>
      </c>
      <c r="F221" t="s">
        <v>13</v>
      </c>
      <c r="G221" s="3">
        <v>2369.9</v>
      </c>
      <c r="H221" s="3">
        <v>2376.3000000000002</v>
      </c>
      <c r="I221" s="3">
        <v>2321</v>
      </c>
      <c r="J221" s="3">
        <v>2377.1999999999998</v>
      </c>
      <c r="K221" s="3">
        <v>2323</v>
      </c>
      <c r="L221" s="3">
        <v>2324.9</v>
      </c>
      <c r="M221" s="3">
        <v>2338.1799999999998</v>
      </c>
      <c r="N221" s="3">
        <v>3211</v>
      </c>
      <c r="O221" s="3">
        <v>2025</v>
      </c>
      <c r="P221" s="3">
        <v>584211</v>
      </c>
      <c r="Q221" s="3">
        <v>34341</v>
      </c>
    </row>
    <row r="222" spans="1:17" x14ac:dyDescent="0.3">
      <c r="A222" s="1">
        <v>45890</v>
      </c>
      <c r="B222" s="1" t="str">
        <f t="shared" si="12"/>
        <v>Thursday</v>
      </c>
      <c r="C222" s="1" t="str">
        <f t="shared" si="13"/>
        <v>Q3</v>
      </c>
      <c r="D222" s="1" t="str">
        <f t="shared" si="14"/>
        <v>Aug</v>
      </c>
      <c r="E222" s="1" t="str">
        <f t="shared" si="15"/>
        <v>2025</v>
      </c>
      <c r="F222" t="s">
        <v>13</v>
      </c>
      <c r="G222" s="3">
        <v>2387.1</v>
      </c>
      <c r="H222" s="3">
        <v>2397</v>
      </c>
      <c r="I222" s="3">
        <v>2371.4</v>
      </c>
      <c r="J222" s="3">
        <v>2387.1</v>
      </c>
      <c r="K222" s="3">
        <v>2373</v>
      </c>
      <c r="L222" s="3">
        <v>2377.1999999999998</v>
      </c>
      <c r="M222" s="3">
        <v>2384.83</v>
      </c>
      <c r="N222" s="3">
        <v>3211</v>
      </c>
      <c r="O222" s="3">
        <v>2025</v>
      </c>
      <c r="P222" s="3">
        <v>441867</v>
      </c>
      <c r="Q222" s="3">
        <v>24817</v>
      </c>
    </row>
    <row r="223" spans="1:17" x14ac:dyDescent="0.3">
      <c r="A223" s="1">
        <v>45889</v>
      </c>
      <c r="B223" s="1" t="str">
        <f t="shared" si="12"/>
        <v>Wednesday</v>
      </c>
      <c r="C223" s="1" t="str">
        <f t="shared" si="13"/>
        <v>Q3</v>
      </c>
      <c r="D223" s="1" t="str">
        <f t="shared" si="14"/>
        <v>Aug</v>
      </c>
      <c r="E223" s="1" t="str">
        <f t="shared" si="15"/>
        <v>2025</v>
      </c>
      <c r="F223" t="s">
        <v>13</v>
      </c>
      <c r="G223" s="3">
        <v>2380</v>
      </c>
      <c r="H223" s="3">
        <v>2406</v>
      </c>
      <c r="I223" s="3">
        <v>2372.1</v>
      </c>
      <c r="J223" s="3">
        <v>2388.4</v>
      </c>
      <c r="K223" s="3">
        <v>2391</v>
      </c>
      <c r="L223" s="3">
        <v>2387.1</v>
      </c>
      <c r="M223" s="3">
        <v>2389.9299999999998</v>
      </c>
      <c r="N223" s="3">
        <v>3211</v>
      </c>
      <c r="O223" s="3">
        <v>2025</v>
      </c>
      <c r="P223" s="3">
        <v>780025</v>
      </c>
      <c r="Q223" s="3">
        <v>34030</v>
      </c>
    </row>
    <row r="224" spans="1:17" x14ac:dyDescent="0.3">
      <c r="A224" s="1">
        <v>45888</v>
      </c>
      <c r="B224" s="1" t="str">
        <f t="shared" si="12"/>
        <v>Tuesday</v>
      </c>
      <c r="C224" s="1" t="str">
        <f t="shared" si="13"/>
        <v>Q3</v>
      </c>
      <c r="D224" s="1" t="str">
        <f t="shared" si="14"/>
        <v>Aug</v>
      </c>
      <c r="E224" s="1" t="str">
        <f t="shared" si="15"/>
        <v>2025</v>
      </c>
      <c r="F224" t="s">
        <v>13</v>
      </c>
      <c r="G224" s="3">
        <v>2339.9</v>
      </c>
      <c r="H224" s="3">
        <v>2395.6</v>
      </c>
      <c r="I224" s="3">
        <v>2314.1</v>
      </c>
      <c r="J224" s="3">
        <v>2333.6</v>
      </c>
      <c r="K224" s="3">
        <v>2380.6999999999998</v>
      </c>
      <c r="L224" s="3">
        <v>2388.4</v>
      </c>
      <c r="M224" s="3">
        <v>2368.1799999999998</v>
      </c>
      <c r="N224" s="3">
        <v>3211</v>
      </c>
      <c r="O224" s="3">
        <v>2025</v>
      </c>
      <c r="P224" s="3">
        <v>1069432</v>
      </c>
      <c r="Q224" s="3">
        <v>58469</v>
      </c>
    </row>
    <row r="225" spans="1:17" x14ac:dyDescent="0.3">
      <c r="A225" s="1">
        <v>45887</v>
      </c>
      <c r="B225" s="1" t="str">
        <f t="shared" si="12"/>
        <v>Monday</v>
      </c>
      <c r="C225" s="1" t="str">
        <f t="shared" si="13"/>
        <v>Q3</v>
      </c>
      <c r="D225" s="1" t="str">
        <f t="shared" si="14"/>
        <v>Aug</v>
      </c>
      <c r="E225" s="1" t="str">
        <f t="shared" si="15"/>
        <v>2025</v>
      </c>
      <c r="F225" t="s">
        <v>13</v>
      </c>
      <c r="G225" s="3">
        <v>2309.6</v>
      </c>
      <c r="H225" s="3">
        <v>2360</v>
      </c>
      <c r="I225" s="3">
        <v>2300</v>
      </c>
      <c r="J225" s="3">
        <v>2281.6</v>
      </c>
      <c r="K225" s="3">
        <v>2325.5</v>
      </c>
      <c r="L225" s="3">
        <v>2333.6</v>
      </c>
      <c r="M225" s="3">
        <v>2339.34</v>
      </c>
      <c r="N225" s="3">
        <v>3211</v>
      </c>
      <c r="O225" s="3">
        <v>2025</v>
      </c>
      <c r="P225" s="3">
        <v>988629</v>
      </c>
      <c r="Q225" s="3">
        <v>45655</v>
      </c>
    </row>
    <row r="226" spans="1:17" x14ac:dyDescent="0.3">
      <c r="A226" s="1">
        <v>45883</v>
      </c>
      <c r="B226" s="1" t="str">
        <f t="shared" si="12"/>
        <v>Thursday</v>
      </c>
      <c r="C226" s="1" t="str">
        <f t="shared" si="13"/>
        <v>Q3</v>
      </c>
      <c r="D226" s="1" t="str">
        <f t="shared" si="14"/>
        <v>Aug</v>
      </c>
      <c r="E226" s="1" t="str">
        <f t="shared" si="15"/>
        <v>2025</v>
      </c>
      <c r="F226" t="s">
        <v>13</v>
      </c>
      <c r="G226" s="3">
        <v>2288</v>
      </c>
      <c r="H226" s="3">
        <v>2304</v>
      </c>
      <c r="I226" s="3">
        <v>2267.6999999999998</v>
      </c>
      <c r="J226" s="3">
        <v>2280.1</v>
      </c>
      <c r="K226" s="3">
        <v>2280.1</v>
      </c>
      <c r="L226" s="3">
        <v>2281.6</v>
      </c>
      <c r="M226" s="3">
        <v>2285.6</v>
      </c>
      <c r="N226" s="3">
        <v>3211</v>
      </c>
      <c r="O226" s="3">
        <v>2025</v>
      </c>
      <c r="P226" s="3">
        <v>998109</v>
      </c>
      <c r="Q226" s="3">
        <v>39420</v>
      </c>
    </row>
    <row r="227" spans="1:17" x14ac:dyDescent="0.3">
      <c r="A227" s="1">
        <v>45882</v>
      </c>
      <c r="B227" s="1" t="str">
        <f t="shared" si="12"/>
        <v>Wednesday</v>
      </c>
      <c r="C227" s="1" t="str">
        <f t="shared" si="13"/>
        <v>Q3</v>
      </c>
      <c r="D227" s="1" t="str">
        <f t="shared" si="14"/>
        <v>Aug</v>
      </c>
      <c r="E227" s="1" t="str">
        <f t="shared" si="15"/>
        <v>2025</v>
      </c>
      <c r="F227" t="s">
        <v>13</v>
      </c>
      <c r="G227" s="3">
        <v>2299</v>
      </c>
      <c r="H227" s="3">
        <v>2314.9</v>
      </c>
      <c r="I227" s="3">
        <v>2245.4</v>
      </c>
      <c r="J227" s="3">
        <v>2288.1999999999998</v>
      </c>
      <c r="K227" s="3">
        <v>2287</v>
      </c>
      <c r="L227" s="3">
        <v>2280.1</v>
      </c>
      <c r="M227" s="3">
        <v>2278.92</v>
      </c>
      <c r="N227" s="3">
        <v>3211</v>
      </c>
      <c r="O227" s="3">
        <v>2025</v>
      </c>
      <c r="P227" s="3">
        <v>833679</v>
      </c>
      <c r="Q227" s="3">
        <v>42397</v>
      </c>
    </row>
    <row r="228" spans="1:17" x14ac:dyDescent="0.3">
      <c r="A228" s="1">
        <v>45881</v>
      </c>
      <c r="B228" s="1" t="str">
        <f t="shared" si="12"/>
        <v>Tuesday</v>
      </c>
      <c r="C228" s="1" t="str">
        <f t="shared" si="13"/>
        <v>Q3</v>
      </c>
      <c r="D228" s="1" t="str">
        <f t="shared" si="14"/>
        <v>Aug</v>
      </c>
      <c r="E228" s="1" t="str">
        <f t="shared" si="15"/>
        <v>2025</v>
      </c>
      <c r="F228" t="s">
        <v>13</v>
      </c>
      <c r="G228" s="3">
        <v>2280.1</v>
      </c>
      <c r="H228" s="3">
        <v>2314.6999999999998</v>
      </c>
      <c r="I228" s="3">
        <v>2267</v>
      </c>
      <c r="J228" s="3">
        <v>2283.4</v>
      </c>
      <c r="K228" s="3">
        <v>2294.5</v>
      </c>
      <c r="L228" s="3">
        <v>2288.1999999999998</v>
      </c>
      <c r="M228" s="3">
        <v>2290.14</v>
      </c>
      <c r="N228" s="3">
        <v>3211</v>
      </c>
      <c r="O228" s="3">
        <v>2025</v>
      </c>
      <c r="P228" s="3">
        <v>1075526</v>
      </c>
      <c r="Q228" s="3">
        <v>61725</v>
      </c>
    </row>
    <row r="229" spans="1:17" x14ac:dyDescent="0.3">
      <c r="A229" s="1">
        <v>45880</v>
      </c>
      <c r="B229" s="1" t="str">
        <f t="shared" si="12"/>
        <v>Monday</v>
      </c>
      <c r="C229" s="1" t="str">
        <f t="shared" si="13"/>
        <v>Q3</v>
      </c>
      <c r="D229" s="1" t="str">
        <f t="shared" si="14"/>
        <v>Aug</v>
      </c>
      <c r="E229" s="1" t="str">
        <f t="shared" si="15"/>
        <v>2025</v>
      </c>
      <c r="F229" t="s">
        <v>13</v>
      </c>
      <c r="G229" s="3">
        <v>2196</v>
      </c>
      <c r="H229" s="3">
        <v>2302</v>
      </c>
      <c r="I229" s="3">
        <v>2183</v>
      </c>
      <c r="J229" s="3">
        <v>2178.1</v>
      </c>
      <c r="K229" s="3">
        <v>2270.1999999999998</v>
      </c>
      <c r="L229" s="3">
        <v>2283.4</v>
      </c>
      <c r="M229" s="3">
        <v>2257.64</v>
      </c>
      <c r="N229" s="3">
        <v>3211</v>
      </c>
      <c r="O229" s="3">
        <v>2025</v>
      </c>
      <c r="P229" s="3">
        <v>2376286</v>
      </c>
      <c r="Q229" s="3">
        <v>118272</v>
      </c>
    </row>
    <row r="230" spans="1:17" x14ac:dyDescent="0.3">
      <c r="A230" s="1">
        <v>45877</v>
      </c>
      <c r="B230" s="1" t="str">
        <f t="shared" si="12"/>
        <v>Friday</v>
      </c>
      <c r="C230" s="1" t="str">
        <f t="shared" si="13"/>
        <v>Q3</v>
      </c>
      <c r="D230" s="1" t="str">
        <f t="shared" si="14"/>
        <v>Aug</v>
      </c>
      <c r="E230" s="1" t="str">
        <f t="shared" si="15"/>
        <v>2025</v>
      </c>
      <c r="F230" t="s">
        <v>13</v>
      </c>
      <c r="G230" s="3">
        <v>2247</v>
      </c>
      <c r="H230" s="3">
        <v>2260.9</v>
      </c>
      <c r="I230" s="3">
        <v>2164.8000000000002</v>
      </c>
      <c r="J230" s="3">
        <v>2249.8000000000002</v>
      </c>
      <c r="K230" s="3">
        <v>2179</v>
      </c>
      <c r="L230" s="3">
        <v>2178.1</v>
      </c>
      <c r="M230" s="3">
        <v>2185.27</v>
      </c>
      <c r="N230" s="3">
        <v>3242.65</v>
      </c>
      <c r="O230" s="3">
        <v>2025</v>
      </c>
      <c r="P230" s="3">
        <v>2552736</v>
      </c>
      <c r="Q230" s="3">
        <v>101023</v>
      </c>
    </row>
    <row r="231" spans="1:17" x14ac:dyDescent="0.3">
      <c r="A231" s="1">
        <v>45876</v>
      </c>
      <c r="B231" s="1" t="str">
        <f t="shared" si="12"/>
        <v>Thursday</v>
      </c>
      <c r="C231" s="1" t="str">
        <f t="shared" si="13"/>
        <v>Q3</v>
      </c>
      <c r="D231" s="1" t="str">
        <f t="shared" si="14"/>
        <v>Aug</v>
      </c>
      <c r="E231" s="1" t="str">
        <f t="shared" si="15"/>
        <v>2025</v>
      </c>
      <c r="F231" t="s">
        <v>13</v>
      </c>
      <c r="G231" s="3">
        <v>2290</v>
      </c>
      <c r="H231" s="3">
        <v>2295</v>
      </c>
      <c r="I231" s="3">
        <v>2202.8000000000002</v>
      </c>
      <c r="J231" s="3">
        <v>2300.3000000000002</v>
      </c>
      <c r="K231" s="3">
        <v>2245.9</v>
      </c>
      <c r="L231" s="3">
        <v>2249.8000000000002</v>
      </c>
      <c r="M231" s="3">
        <v>2244.12</v>
      </c>
      <c r="N231" s="3">
        <v>3242.65</v>
      </c>
      <c r="O231" s="3">
        <v>2025</v>
      </c>
      <c r="P231" s="3">
        <v>1529410</v>
      </c>
      <c r="Q231" s="3">
        <v>72389</v>
      </c>
    </row>
    <row r="232" spans="1:17" x14ac:dyDescent="0.3">
      <c r="A232" s="1">
        <v>45875</v>
      </c>
      <c r="B232" s="1" t="str">
        <f t="shared" si="12"/>
        <v>Wednesday</v>
      </c>
      <c r="C232" s="1" t="str">
        <f t="shared" si="13"/>
        <v>Q3</v>
      </c>
      <c r="D232" s="1" t="str">
        <f t="shared" si="14"/>
        <v>Aug</v>
      </c>
      <c r="E232" s="1" t="str">
        <f t="shared" si="15"/>
        <v>2025</v>
      </c>
      <c r="F232" t="s">
        <v>13</v>
      </c>
      <c r="G232" s="3">
        <v>2333.9</v>
      </c>
      <c r="H232" s="3">
        <v>2347.9</v>
      </c>
      <c r="I232" s="3">
        <v>2296</v>
      </c>
      <c r="J232" s="3">
        <v>2328.1999999999998</v>
      </c>
      <c r="K232" s="3">
        <v>2300</v>
      </c>
      <c r="L232" s="3">
        <v>2300.3000000000002</v>
      </c>
      <c r="M232" s="3">
        <v>2311.6</v>
      </c>
      <c r="N232" s="3">
        <v>3242.65</v>
      </c>
      <c r="O232" s="3">
        <v>2025</v>
      </c>
      <c r="P232" s="3">
        <v>631582</v>
      </c>
      <c r="Q232" s="3">
        <v>35196</v>
      </c>
    </row>
    <row r="233" spans="1:17" x14ac:dyDescent="0.3">
      <c r="A233" s="1">
        <v>45874</v>
      </c>
      <c r="B233" s="1" t="str">
        <f t="shared" si="12"/>
        <v>Tuesday</v>
      </c>
      <c r="C233" s="1" t="str">
        <f t="shared" si="13"/>
        <v>Q3</v>
      </c>
      <c r="D233" s="1" t="str">
        <f t="shared" si="14"/>
        <v>Aug</v>
      </c>
      <c r="E233" s="1" t="str">
        <f t="shared" si="15"/>
        <v>2025</v>
      </c>
      <c r="F233" t="s">
        <v>13</v>
      </c>
      <c r="G233" s="3">
        <v>2370</v>
      </c>
      <c r="H233" s="3">
        <v>2370</v>
      </c>
      <c r="I233" s="3">
        <v>2316</v>
      </c>
      <c r="J233" s="3">
        <v>2363.6</v>
      </c>
      <c r="K233" s="3">
        <v>2333</v>
      </c>
      <c r="L233" s="3">
        <v>2328.1999999999998</v>
      </c>
      <c r="M233" s="3">
        <v>2333.4299999999998</v>
      </c>
      <c r="N233" s="3">
        <v>3242.65</v>
      </c>
      <c r="O233" s="3">
        <v>2025</v>
      </c>
      <c r="P233" s="3">
        <v>576742</v>
      </c>
      <c r="Q233" s="3">
        <v>36761</v>
      </c>
    </row>
    <row r="234" spans="1:17" x14ac:dyDescent="0.3">
      <c r="A234" s="1">
        <v>45873</v>
      </c>
      <c r="B234" s="1" t="str">
        <f t="shared" si="12"/>
        <v>Monday</v>
      </c>
      <c r="C234" s="1" t="str">
        <f t="shared" si="13"/>
        <v>Q3</v>
      </c>
      <c r="D234" s="1" t="str">
        <f t="shared" si="14"/>
        <v>Aug</v>
      </c>
      <c r="E234" s="1" t="str">
        <f t="shared" si="15"/>
        <v>2025</v>
      </c>
      <c r="F234" t="s">
        <v>13</v>
      </c>
      <c r="G234" s="3">
        <v>2360</v>
      </c>
      <c r="H234" s="3">
        <v>2374.6999999999998</v>
      </c>
      <c r="I234" s="3">
        <v>2338.1999999999998</v>
      </c>
      <c r="J234" s="3">
        <v>2350.9</v>
      </c>
      <c r="K234" s="3">
        <v>2364.6999999999998</v>
      </c>
      <c r="L234" s="3">
        <v>2363.6</v>
      </c>
      <c r="M234" s="3">
        <v>2358.52</v>
      </c>
      <c r="N234" s="3">
        <v>3242.65</v>
      </c>
      <c r="O234" s="3">
        <v>2025</v>
      </c>
      <c r="P234" s="3">
        <v>576426</v>
      </c>
      <c r="Q234" s="3">
        <v>35680</v>
      </c>
    </row>
    <row r="235" spans="1:17" x14ac:dyDescent="0.3">
      <c r="A235" s="1">
        <v>45870</v>
      </c>
      <c r="B235" s="1" t="str">
        <f t="shared" si="12"/>
        <v>Friday</v>
      </c>
      <c r="C235" s="1" t="str">
        <f t="shared" si="13"/>
        <v>Q3</v>
      </c>
      <c r="D235" s="1" t="str">
        <f t="shared" si="14"/>
        <v>Aug</v>
      </c>
      <c r="E235" s="1" t="str">
        <f t="shared" si="15"/>
        <v>2025</v>
      </c>
      <c r="F235" t="s">
        <v>13</v>
      </c>
      <c r="G235" s="3">
        <v>2425</v>
      </c>
      <c r="H235" s="3">
        <v>2444.9</v>
      </c>
      <c r="I235" s="3">
        <v>2333</v>
      </c>
      <c r="J235" s="3">
        <v>2430.6999999999998</v>
      </c>
      <c r="K235" s="3">
        <v>2341.5</v>
      </c>
      <c r="L235" s="3">
        <v>2350.9</v>
      </c>
      <c r="M235" s="3">
        <v>2387.3000000000002</v>
      </c>
      <c r="N235" s="3">
        <v>3258</v>
      </c>
      <c r="O235" s="3">
        <v>2025</v>
      </c>
      <c r="P235" s="3">
        <v>976341</v>
      </c>
      <c r="Q235" s="3">
        <v>50438</v>
      </c>
    </row>
    <row r="236" spans="1:17" x14ac:dyDescent="0.3">
      <c r="A236" s="1">
        <v>45869</v>
      </c>
      <c r="B236" s="1" t="str">
        <f t="shared" si="12"/>
        <v>Thursday</v>
      </c>
      <c r="C236" s="1" t="str">
        <f t="shared" si="13"/>
        <v>Q3</v>
      </c>
      <c r="D236" s="1" t="str">
        <f t="shared" si="14"/>
        <v>Jul</v>
      </c>
      <c r="E236" s="1" t="str">
        <f t="shared" si="15"/>
        <v>2025</v>
      </c>
      <c r="F236" t="s">
        <v>13</v>
      </c>
      <c r="G236" s="3">
        <v>2509.9</v>
      </c>
      <c r="H236" s="3">
        <v>2520</v>
      </c>
      <c r="I236" s="3">
        <v>2422.6</v>
      </c>
      <c r="J236" s="3">
        <v>2532.9</v>
      </c>
      <c r="K236" s="3">
        <v>2430</v>
      </c>
      <c r="L236" s="3">
        <v>2430.6999999999998</v>
      </c>
      <c r="M236" s="3">
        <v>2466.4699999999998</v>
      </c>
      <c r="N236" s="3">
        <v>3258</v>
      </c>
      <c r="O236" s="3">
        <v>2025</v>
      </c>
      <c r="P236" s="3">
        <v>1457616</v>
      </c>
      <c r="Q236" s="3">
        <v>74728</v>
      </c>
    </row>
    <row r="237" spans="1:17" x14ac:dyDescent="0.3">
      <c r="A237" s="1">
        <v>45868</v>
      </c>
      <c r="B237" s="1" t="str">
        <f t="shared" si="12"/>
        <v>Wednesday</v>
      </c>
      <c r="C237" s="1" t="str">
        <f t="shared" si="13"/>
        <v>Q3</v>
      </c>
      <c r="D237" s="1" t="str">
        <f t="shared" si="14"/>
        <v>Jul</v>
      </c>
      <c r="E237" s="1" t="str">
        <f t="shared" si="15"/>
        <v>2025</v>
      </c>
      <c r="F237" t="s">
        <v>13</v>
      </c>
      <c r="G237" s="3">
        <v>2547.9</v>
      </c>
      <c r="H237" s="3">
        <v>2552.6</v>
      </c>
      <c r="I237" s="3">
        <v>2525</v>
      </c>
      <c r="J237" s="3">
        <v>2547.9</v>
      </c>
      <c r="K237" s="3">
        <v>2527</v>
      </c>
      <c r="L237" s="3">
        <v>2532.9</v>
      </c>
      <c r="M237" s="3">
        <v>2541.06</v>
      </c>
      <c r="N237" s="3">
        <v>3258</v>
      </c>
      <c r="O237" s="3">
        <v>2025</v>
      </c>
      <c r="P237" s="3">
        <v>262063</v>
      </c>
      <c r="Q237" s="3">
        <v>22733</v>
      </c>
    </row>
    <row r="238" spans="1:17" x14ac:dyDescent="0.3">
      <c r="A238" s="1">
        <v>45867</v>
      </c>
      <c r="B238" s="1" t="str">
        <f t="shared" si="12"/>
        <v>Tuesday</v>
      </c>
      <c r="C238" s="1" t="str">
        <f t="shared" si="13"/>
        <v>Q3</v>
      </c>
      <c r="D238" s="1" t="str">
        <f t="shared" si="14"/>
        <v>Jul</v>
      </c>
      <c r="E238" s="1" t="str">
        <f t="shared" si="15"/>
        <v>2025</v>
      </c>
      <c r="F238" t="s">
        <v>13</v>
      </c>
      <c r="G238" s="3">
        <v>2529</v>
      </c>
      <c r="H238" s="3">
        <v>2557.4</v>
      </c>
      <c r="I238" s="3">
        <v>2507.5</v>
      </c>
      <c r="J238" s="3">
        <v>2522.3000000000002</v>
      </c>
      <c r="K238" s="3">
        <v>2545.5</v>
      </c>
      <c r="L238" s="3">
        <v>2547.9</v>
      </c>
      <c r="M238" s="3">
        <v>2534.7199999999998</v>
      </c>
      <c r="N238" s="3">
        <v>3258</v>
      </c>
      <c r="O238" s="3">
        <v>2025</v>
      </c>
      <c r="P238" s="3">
        <v>424781</v>
      </c>
      <c r="Q238" s="3">
        <v>32528</v>
      </c>
    </row>
    <row r="239" spans="1:17" x14ac:dyDescent="0.3">
      <c r="A239" s="1">
        <v>45866</v>
      </c>
      <c r="B239" s="1" t="str">
        <f t="shared" si="12"/>
        <v>Monday</v>
      </c>
      <c r="C239" s="1" t="str">
        <f t="shared" si="13"/>
        <v>Q3</v>
      </c>
      <c r="D239" s="1" t="str">
        <f t="shared" si="14"/>
        <v>Jul</v>
      </c>
      <c r="E239" s="1" t="str">
        <f t="shared" si="15"/>
        <v>2025</v>
      </c>
      <c r="F239" t="s">
        <v>13</v>
      </c>
      <c r="G239" s="3">
        <v>2549</v>
      </c>
      <c r="H239" s="3">
        <v>2585</v>
      </c>
      <c r="I239" s="3">
        <v>2512.6</v>
      </c>
      <c r="J239" s="3">
        <v>2550.1</v>
      </c>
      <c r="K239" s="3">
        <v>2528</v>
      </c>
      <c r="L239" s="3">
        <v>2522.3000000000002</v>
      </c>
      <c r="M239" s="3">
        <v>2545.5500000000002</v>
      </c>
      <c r="N239" s="3">
        <v>3258</v>
      </c>
      <c r="O239" s="3">
        <v>2025</v>
      </c>
      <c r="P239" s="3">
        <v>428409</v>
      </c>
      <c r="Q239" s="3">
        <v>33834</v>
      </c>
    </row>
    <row r="240" spans="1:17" x14ac:dyDescent="0.3">
      <c r="A240" s="1">
        <v>45863</v>
      </c>
      <c r="B240" s="1" t="str">
        <f t="shared" si="12"/>
        <v>Friday</v>
      </c>
      <c r="C240" s="1" t="str">
        <f t="shared" si="13"/>
        <v>Q3</v>
      </c>
      <c r="D240" s="1" t="str">
        <f t="shared" si="14"/>
        <v>Jul</v>
      </c>
      <c r="E240" s="1" t="str">
        <f t="shared" si="15"/>
        <v>2025</v>
      </c>
      <c r="F240" t="s">
        <v>13</v>
      </c>
      <c r="G240" s="3">
        <v>2605</v>
      </c>
      <c r="H240" s="3">
        <v>2617</v>
      </c>
      <c r="I240" s="3">
        <v>2544.1</v>
      </c>
      <c r="J240" s="3">
        <v>2608.4</v>
      </c>
      <c r="K240" s="3">
        <v>2549.5</v>
      </c>
      <c r="L240" s="3">
        <v>2550.1</v>
      </c>
      <c r="M240" s="3">
        <v>2568.46</v>
      </c>
      <c r="N240" s="3">
        <v>3258</v>
      </c>
      <c r="O240" s="3">
        <v>2025</v>
      </c>
      <c r="P240" s="3">
        <v>424612</v>
      </c>
      <c r="Q240" s="3">
        <v>30247</v>
      </c>
    </row>
    <row r="241" spans="1:17" x14ac:dyDescent="0.3">
      <c r="A241" s="1">
        <v>45862</v>
      </c>
      <c r="B241" s="1" t="str">
        <f t="shared" si="12"/>
        <v>Thursday</v>
      </c>
      <c r="C241" s="1" t="str">
        <f t="shared" si="13"/>
        <v>Q3</v>
      </c>
      <c r="D241" s="1" t="str">
        <f t="shared" si="14"/>
        <v>Jul</v>
      </c>
      <c r="E241" s="1" t="str">
        <f t="shared" si="15"/>
        <v>2025</v>
      </c>
      <c r="F241" t="s">
        <v>13</v>
      </c>
      <c r="G241" s="3">
        <v>2615.4</v>
      </c>
      <c r="H241" s="3">
        <v>2624.2</v>
      </c>
      <c r="I241" s="3">
        <v>2595</v>
      </c>
      <c r="J241" s="3">
        <v>2614.5</v>
      </c>
      <c r="K241" s="3">
        <v>2608</v>
      </c>
      <c r="L241" s="3">
        <v>2608.4</v>
      </c>
      <c r="M241" s="3">
        <v>2607.65</v>
      </c>
      <c r="N241" s="3">
        <v>3258</v>
      </c>
      <c r="O241" s="3">
        <v>2025</v>
      </c>
      <c r="P241" s="3">
        <v>253782</v>
      </c>
      <c r="Q241" s="3">
        <v>22026</v>
      </c>
    </row>
    <row r="242" spans="1:17" x14ac:dyDescent="0.3">
      <c r="A242" s="1">
        <v>45861</v>
      </c>
      <c r="B242" s="1" t="str">
        <f t="shared" si="12"/>
        <v>Wednesday</v>
      </c>
      <c r="C242" s="1" t="str">
        <f t="shared" si="13"/>
        <v>Q3</v>
      </c>
      <c r="D242" s="1" t="str">
        <f t="shared" si="14"/>
        <v>Jul</v>
      </c>
      <c r="E242" s="1" t="str">
        <f t="shared" si="15"/>
        <v>2025</v>
      </c>
      <c r="F242" t="s">
        <v>13</v>
      </c>
      <c r="G242" s="3">
        <v>2600.6999999999998</v>
      </c>
      <c r="H242" s="3">
        <v>2625.9</v>
      </c>
      <c r="I242" s="3">
        <v>2593.5</v>
      </c>
      <c r="J242" s="3">
        <v>2587.8000000000002</v>
      </c>
      <c r="K242" s="3">
        <v>2615.5</v>
      </c>
      <c r="L242" s="3">
        <v>2614.5</v>
      </c>
      <c r="M242" s="3">
        <v>2612.73</v>
      </c>
      <c r="N242" s="3">
        <v>3258</v>
      </c>
      <c r="O242" s="3">
        <v>2025</v>
      </c>
      <c r="P242" s="3">
        <v>316424</v>
      </c>
      <c r="Q242" s="3">
        <v>24447</v>
      </c>
    </row>
    <row r="243" spans="1:17" x14ac:dyDescent="0.3">
      <c r="A243" s="1">
        <v>45860</v>
      </c>
      <c r="B243" s="1" t="str">
        <f t="shared" si="12"/>
        <v>Tuesday</v>
      </c>
      <c r="C243" s="1" t="str">
        <f t="shared" si="13"/>
        <v>Q3</v>
      </c>
      <c r="D243" s="1" t="str">
        <f t="shared" si="14"/>
        <v>Jul</v>
      </c>
      <c r="E243" s="1" t="str">
        <f t="shared" si="15"/>
        <v>2025</v>
      </c>
      <c r="F243" t="s">
        <v>13</v>
      </c>
      <c r="G243" s="3">
        <v>2626</v>
      </c>
      <c r="H243" s="3">
        <v>2630</v>
      </c>
      <c r="I243" s="3">
        <v>2581.6</v>
      </c>
      <c r="J243" s="3">
        <v>2619.5</v>
      </c>
      <c r="K243" s="3">
        <v>2593.9</v>
      </c>
      <c r="L243" s="3">
        <v>2587.8000000000002</v>
      </c>
      <c r="M243" s="3">
        <v>2599.9899999999998</v>
      </c>
      <c r="N243" s="3">
        <v>3258</v>
      </c>
      <c r="O243" s="3">
        <v>2025</v>
      </c>
      <c r="P243" s="3">
        <v>387055</v>
      </c>
      <c r="Q243" s="3">
        <v>25897</v>
      </c>
    </row>
    <row r="244" spans="1:17" x14ac:dyDescent="0.3">
      <c r="A244" s="1">
        <v>45859</v>
      </c>
      <c r="B244" s="1" t="str">
        <f t="shared" si="12"/>
        <v>Monday</v>
      </c>
      <c r="C244" s="1" t="str">
        <f t="shared" si="13"/>
        <v>Q3</v>
      </c>
      <c r="D244" s="1" t="str">
        <f t="shared" si="14"/>
        <v>Jul</v>
      </c>
      <c r="E244" s="1" t="str">
        <f t="shared" si="15"/>
        <v>2025</v>
      </c>
      <c r="F244" t="s">
        <v>13</v>
      </c>
      <c r="G244" s="3">
        <v>2596.3000000000002</v>
      </c>
      <c r="H244" s="3">
        <v>2624.9</v>
      </c>
      <c r="I244" s="3">
        <v>2585</v>
      </c>
      <c r="J244" s="3">
        <v>2596.1</v>
      </c>
      <c r="K244" s="3">
        <v>2615.6999999999998</v>
      </c>
      <c r="L244" s="3">
        <v>2619.5</v>
      </c>
      <c r="M244" s="3">
        <v>2612.2199999999998</v>
      </c>
      <c r="N244" s="3">
        <v>3258</v>
      </c>
      <c r="O244" s="3">
        <v>2025</v>
      </c>
      <c r="P244" s="3">
        <v>369782</v>
      </c>
      <c r="Q244" s="3">
        <v>28077</v>
      </c>
    </row>
    <row r="245" spans="1:17" x14ac:dyDescent="0.3">
      <c r="A245" s="1">
        <v>45856</v>
      </c>
      <c r="B245" s="1" t="str">
        <f t="shared" si="12"/>
        <v>Friday</v>
      </c>
      <c r="C245" s="1" t="str">
        <f t="shared" si="13"/>
        <v>Q3</v>
      </c>
      <c r="D245" s="1" t="str">
        <f t="shared" si="14"/>
        <v>Jul</v>
      </c>
      <c r="E245" s="1" t="str">
        <f t="shared" si="15"/>
        <v>2025</v>
      </c>
      <c r="F245" t="s">
        <v>13</v>
      </c>
      <c r="G245" s="3">
        <v>2612</v>
      </c>
      <c r="H245" s="3">
        <v>2626.7</v>
      </c>
      <c r="I245" s="3">
        <v>2584.1999999999998</v>
      </c>
      <c r="J245" s="3">
        <v>2616.6</v>
      </c>
      <c r="K245" s="3">
        <v>2594.1999999999998</v>
      </c>
      <c r="L245" s="3">
        <v>2596.1</v>
      </c>
      <c r="M245" s="3">
        <v>2599.8000000000002</v>
      </c>
      <c r="N245" s="3">
        <v>3258</v>
      </c>
      <c r="O245" s="3">
        <v>2025</v>
      </c>
      <c r="P245" s="3">
        <v>479942</v>
      </c>
      <c r="Q245" s="3">
        <v>32389</v>
      </c>
    </row>
    <row r="246" spans="1:17" x14ac:dyDescent="0.3">
      <c r="A246" s="1">
        <v>45855</v>
      </c>
      <c r="B246" s="1" t="str">
        <f t="shared" si="12"/>
        <v>Thursday</v>
      </c>
      <c r="C246" s="1" t="str">
        <f t="shared" si="13"/>
        <v>Q3</v>
      </c>
      <c r="D246" s="1" t="str">
        <f t="shared" si="14"/>
        <v>Jul</v>
      </c>
      <c r="E246" s="1" t="str">
        <f t="shared" si="15"/>
        <v>2025</v>
      </c>
      <c r="F246" t="s">
        <v>13</v>
      </c>
      <c r="G246" s="3">
        <v>2612</v>
      </c>
      <c r="H246" s="3">
        <v>2654.5</v>
      </c>
      <c r="I246" s="3">
        <v>2605.3000000000002</v>
      </c>
      <c r="J246" s="3">
        <v>2608.5</v>
      </c>
      <c r="K246" s="3">
        <v>2614.9</v>
      </c>
      <c r="L246" s="3">
        <v>2616.6</v>
      </c>
      <c r="M246" s="3">
        <v>2628.55</v>
      </c>
      <c r="N246" s="3">
        <v>3258</v>
      </c>
      <c r="O246" s="3">
        <v>2025</v>
      </c>
      <c r="P246" s="3">
        <v>785771</v>
      </c>
      <c r="Q246" s="3">
        <v>43962</v>
      </c>
    </row>
    <row r="247" spans="1:17" x14ac:dyDescent="0.3">
      <c r="A247" s="1">
        <v>45854</v>
      </c>
      <c r="B247" s="1" t="str">
        <f t="shared" si="12"/>
        <v>Wednesday</v>
      </c>
      <c r="C247" s="1" t="str">
        <f t="shared" si="13"/>
        <v>Q3</v>
      </c>
      <c r="D247" s="1" t="str">
        <f t="shared" si="14"/>
        <v>Jul</v>
      </c>
      <c r="E247" s="1" t="str">
        <f t="shared" si="15"/>
        <v>2025</v>
      </c>
      <c r="F247" t="s">
        <v>13</v>
      </c>
      <c r="G247" s="3">
        <v>2602.5</v>
      </c>
      <c r="H247" s="3">
        <v>2619.5</v>
      </c>
      <c r="I247" s="3">
        <v>2595.5</v>
      </c>
      <c r="J247" s="3">
        <v>2598.1999999999998</v>
      </c>
      <c r="K247" s="3">
        <v>2608.1999999999998</v>
      </c>
      <c r="L247" s="3">
        <v>2608.5</v>
      </c>
      <c r="M247" s="3">
        <v>2610.5500000000002</v>
      </c>
      <c r="N247" s="3">
        <v>3258</v>
      </c>
      <c r="O247" s="3">
        <v>2025</v>
      </c>
      <c r="P247" s="3">
        <v>686644</v>
      </c>
      <c r="Q247" s="3">
        <v>37057</v>
      </c>
    </row>
    <row r="248" spans="1:17" x14ac:dyDescent="0.3">
      <c r="A248" s="1">
        <v>45853</v>
      </c>
      <c r="B248" s="1" t="str">
        <f t="shared" si="12"/>
        <v>Tuesday</v>
      </c>
      <c r="C248" s="1" t="str">
        <f t="shared" si="13"/>
        <v>Q3</v>
      </c>
      <c r="D248" s="1" t="str">
        <f t="shared" si="14"/>
        <v>Jul</v>
      </c>
      <c r="E248" s="1" t="str">
        <f t="shared" si="15"/>
        <v>2025</v>
      </c>
      <c r="F248" t="s">
        <v>13</v>
      </c>
      <c r="G248" s="3">
        <v>2588</v>
      </c>
      <c r="H248" s="3">
        <v>2606.9</v>
      </c>
      <c r="I248" s="3">
        <v>2576</v>
      </c>
      <c r="J248" s="3">
        <v>2581.3000000000002</v>
      </c>
      <c r="K248" s="3">
        <v>2603.1</v>
      </c>
      <c r="L248" s="3">
        <v>2598.1999999999998</v>
      </c>
      <c r="M248" s="3">
        <v>2593.15</v>
      </c>
      <c r="N248" s="3">
        <v>3258</v>
      </c>
      <c r="O248" s="3">
        <v>2025</v>
      </c>
      <c r="P248" s="3">
        <v>379425</v>
      </c>
      <c r="Q248" s="3">
        <v>24377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Quote-Equity-ADANIENT-EQ-15-07-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niteshchaudhari1731@outlook.com</cp:lastModifiedBy>
  <dcterms:created xsi:type="dcterms:W3CDTF">2026-07-15T14:19:51Z</dcterms:created>
  <dcterms:modified xsi:type="dcterms:W3CDTF">2026-07-15T14:24:17Z</dcterms:modified>
</cp:coreProperties>
</file>